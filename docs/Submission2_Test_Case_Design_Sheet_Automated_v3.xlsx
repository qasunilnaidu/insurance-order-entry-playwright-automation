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uide" sheetId="1" state="visible" r:id="rId1"/>
    <sheet xmlns:r="http://schemas.openxmlformats.org/officeDocument/2006/relationships" name="Test Cases" sheetId="2" state="visible" r:id="rId2"/>
    <sheet xmlns:r="http://schemas.openxmlformats.org/officeDocument/2006/relationships" name="Coverage Summary" sheetId="3" state="visible" r:id="rId3"/>
    <sheet xmlns:r="http://schemas.openxmlformats.org/officeDocument/2006/relationships" name="Risk Traceability" sheetId="4" state="visible" r:id="rId4"/>
    <sheet xmlns:r="http://schemas.openxmlformats.org/officeDocument/2006/relationships" name="Validation ID Matrix" sheetId="5" state="visible" r:id="rId5"/>
    <sheet xmlns:r="http://schemas.openxmlformats.org/officeDocument/2006/relationships" name="Test Data" sheetId="6" state="visible" r:id="rId6"/>
    <sheet xmlns:r="http://schemas.openxmlformats.org/officeDocument/2006/relationships" name="Open Items" sheetId="7" state="visible" r:id="rId7"/>
    <sheet xmlns:r="http://schemas.openxmlformats.org/officeDocument/2006/relationships" name="Review Log" sheetId="8" state="visible" r:id="rId8"/>
  </sheets>
  <definedNames>
    <definedName name="_xlnm._FilterDatabase" localSheetId="1" hidden="1">'Test Cases'!$A$1:$X$124</definedName>
    <definedName name="_xlnm._FilterDatabase" localSheetId="4" hidden="1">'Validation ID Matrix'!$A$3:$E$72</definedName>
    <definedName name="_xlnm._FilterDatabase" localSheetId="7" hidden="1">'Review Log'!$A$3:$F$28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m\-yyyy"/>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sz val="10"/>
    </font>
    <font>
      <name val="Arial"/>
      <charset val="1"/>
      <family val="0"/>
      <sz val="10"/>
    </font>
    <font>
      <name val="Arial"/>
      <charset val="1"/>
      <family val="0"/>
      <b val="1"/>
      <color rgb="FFFFFFFF"/>
      <sz val="10"/>
    </font>
    <font>
      <name val="Arial"/>
      <charset val="1"/>
      <family val="0"/>
      <color rgb="FF0000FF"/>
      <sz val="10"/>
    </font>
  </fonts>
  <fills count="5">
    <fill>
      <patternFill/>
    </fill>
    <fill>
      <patternFill patternType="gray125"/>
    </fill>
    <fill>
      <patternFill patternType="solid">
        <fgColor rgb="FF1F3864"/>
        <bgColor rgb="FF333333"/>
      </patternFill>
    </fill>
    <fill>
      <patternFill patternType="solid">
        <fgColor rgb="FFD9E2F3"/>
        <bgColor rgb="FFDDEBF7"/>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left" vertical="bottom"/>
    </xf>
    <xf numFmtId="0" fontId="7" fillId="2"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left" vertical="center"/>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center" vertical="center"/>
    </xf>
    <xf numFmtId="0" fontId="5" fillId="3" borderId="1" applyAlignment="1" pivotButton="0" quotePrefix="0" xfId="0">
      <alignment horizontal="left" vertical="bottom"/>
    </xf>
    <xf numFmtId="0" fontId="5" fillId="3" borderId="1" applyAlignment="1" pivotButton="0" quotePrefix="0" xfId="0">
      <alignment horizontal="center" vertical="bottom"/>
    </xf>
    <xf numFmtId="0" fontId="5" fillId="3" borderId="1" applyAlignment="1" pivotButton="0" quotePrefix="0" xfId="0">
      <alignment horizontal="center" vertical="bottom"/>
    </xf>
    <xf numFmtId="9" fontId="6" fillId="0" borderId="0" applyAlignment="1" pivotButton="0" quotePrefix="0" xfId="0">
      <alignment horizontal="general" vertical="bottom"/>
    </xf>
    <xf numFmtId="9" fontId="5" fillId="0" borderId="0" applyAlignment="1" pivotButton="0" quotePrefix="0" xfId="0">
      <alignment horizontal="general" vertical="bottom"/>
    </xf>
    <xf numFmtId="0" fontId="6" fillId="0" borderId="0" applyAlignment="1" pivotButton="0" quotePrefix="0" xfId="0">
      <alignment horizontal="general" vertical="top" wrapText="1"/>
    </xf>
    <xf numFmtId="164" fontId="6" fillId="0" borderId="1" applyAlignment="1" pivotButton="0" quotePrefix="0" xfId="0">
      <alignment horizontal="center" vertical="top" wrapText="1"/>
    </xf>
    <xf numFmtId="0" fontId="6"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left" vertical="bottom"/>
    </xf>
    <xf numFmtId="0" fontId="7" fillId="2"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left" vertical="center"/>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5" fillId="3" borderId="1" applyAlignment="1" pivotButton="0" quotePrefix="0" xfId="0">
      <alignment horizontal="left" vertical="bottom"/>
    </xf>
    <xf numFmtId="0" fontId="5" fillId="3" borderId="1" applyAlignment="1" pivotButton="0" quotePrefix="0" xfId="0">
      <alignment horizontal="center" vertical="bottom"/>
    </xf>
    <xf numFmtId="9" fontId="6" fillId="0" borderId="0" applyAlignment="1" pivotButton="0" quotePrefix="0" xfId="0">
      <alignment horizontal="general" vertical="bottom"/>
    </xf>
    <xf numFmtId="9" fontId="5" fillId="0" borderId="0" applyAlignment="1" pivotButton="0" quotePrefix="0" xfId="0">
      <alignment horizontal="general" vertical="bottom"/>
    </xf>
    <xf numFmtId="164" fontId="6" fillId="0" borderId="1" applyAlignment="1" pivotButton="0" quotePrefix="0" xfId="0">
      <alignment horizontal="center" vertical="top" wrapText="1"/>
    </xf>
    <xf numFmtId="0" fontId="6"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bgColor rgb="FFF8CBAD"/>
        </patternFill>
      </fill>
    </dxf>
    <dxf>
      <fill>
        <patternFill>
          <bgColor rgb="FFFFE699"/>
        </patternFill>
      </fill>
    </dxf>
    <dxf>
      <fill>
        <patternFill>
          <bgColor rgb="FFDDEBF7"/>
        </patternFill>
      </fill>
    </dxf>
    <dxf>
      <fill>
        <patternFill>
          <bgColor rgb="FFE2EFDA"/>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B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2" min="1" max="1"/>
    <col width="110" customWidth="1" style="22" min="2" max="2"/>
  </cols>
  <sheetData>
    <row r="1" ht="17.35" customHeight="1" s="23">
      <c r="A1" s="24" t="inlineStr">
        <is>
          <t>Submission 2 - Test Case Design Sheet</t>
        </is>
      </c>
    </row>
    <row r="2" ht="15" customHeight="1" s="23">
      <c r="A2" s="25" t="inlineStr">
        <is>
          <t>Playwright QA Automation for Insurance Order Entry Platform</t>
        </is>
      </c>
    </row>
    <row r="4" ht="15" customHeight="1" s="23">
      <c r="A4" s="26" t="inlineStr">
        <is>
          <t>Purpose</t>
        </is>
      </c>
      <c r="B4" s="27" t="inlineStr">
        <is>
          <t>Converts the Submission 1 QA plan into detailed, traceable test cases for the Playwright automation build.</t>
        </is>
      </c>
    </row>
    <row r="5" ht="23.85" customHeight="1" s="23">
      <c r="A5" s="26" t="inlineStr">
        <is>
          <t>Sheets</t>
        </is>
      </c>
      <c r="B5" s="27" t="inlineStr">
        <is>
          <t>Test Cases (the design sheet) | Coverage Summary | Risk Traceability | Validation ID Matrix | Test Data | Open Items | Review Log (v2 reviewer findings)</t>
        </is>
      </c>
    </row>
    <row r="6" s="23">
      <c r="A6" s="26" t="inlineStr">
        <is>
          <t>Version</t>
        </is>
      </c>
      <c r="B6" s="27" t="inlineStr">
        <is>
          <t xml:space="preserve">v2 - reviewed against all Submission 2 documents; 32 cases and 3 columns added, 8 cases rewritten. See Review Log.
v3 (23-Oct-2026): aligned with the automation run - 123 design cases = 123 Playwright tests (1:1 by Test Case ID); execution results and DEF codes filled in; steps/expected results of 17 cases updated to match the app. See Review Log 26-33.</t>
        </is>
      </c>
    </row>
    <row r="7" ht="23.85" customHeight="1" s="23">
      <c r="A7" s="26" t="inlineStr">
        <is>
          <t>Columns follow</t>
        </is>
      </c>
      <c r="B7" s="27" t="inlineStr">
        <is>
          <t>Guideline section 5: ID/title, module and requirement/risk/defect link, preconditions, steps, expected result, severity/priority, evidence required, automation status.</t>
        </is>
      </c>
    </row>
    <row r="8" ht="23.85" customHeight="1" s="23">
      <c r="A8" s="26" t="inlineStr">
        <is>
          <t>Build Wave</t>
        </is>
      </c>
      <c r="B8" s="27" t="inlineStr">
        <is>
          <t>1 = smoke path and critical checks to automate first | 2 = core validations | 3 = extended coverage. The 'Short-Cohort Set' column (Y) marks the 30-35 test fallback.</t>
        </is>
      </c>
    </row>
    <row r="9" s="23">
      <c r="A9" s="26" t="inlineStr">
        <is>
          <t>Seeded defect links</t>
        </is>
      </c>
      <c r="B9" s="27" t="inlineStr">
        <is>
          <t xml:space="preserve">Seeded defect catalog received from the lab (database/seeders/SeededDefectSeeder.php, 20 active codes). Column G now holds the DEF code for every case that runs into an active seeded defect; those cases FAIL BY DESIGN and are the intended defect log.</t>
        </is>
      </c>
    </row>
    <row r="10" ht="15" customHeight="1" s="23">
      <c r="A10" s="26" t="inlineStr">
        <is>
          <t>Placeholders</t>
        </is>
      </c>
      <c r="B10" s="27" t="inlineStr">
        <is>
          <t>'CONFIRM' marks values (limits, formats, counts) that must be verified in the running app. See Open Items.</t>
        </is>
      </c>
    </row>
    <row r="11" s="23">
      <c r="A11" s="26" t="inlineStr">
        <is>
          <t>Automation Status</t>
        </is>
      </c>
      <c r="B11" s="27" t="inlineStr">
        <is>
          <t xml:space="preserve">All 123 cases are Automated: 107 UI tests (chromium project) + 16 API tests (api project), matched 1:1 by Test Case ID. Execution Result holds the 23-Oct-2026 run: Pass / Fail (seeded defect or new defect) / Skipped (app gap or missing config) / Blocked (no REST API).</t>
        </is>
      </c>
    </row>
    <row r="12" ht="23.85" customHeight="1" s="23">
      <c r="A12" s="26" t="inlineStr">
        <is>
          <t>Extra columns</t>
        </is>
      </c>
      <c r="B12" s="27" t="inlineStr">
        <is>
          <t>Scenario Type (Positive/Negative/Boundary), Backend Cross-check (API/DB), Isolation / Cleanup (independence and shared-state notes).</t>
        </is>
      </c>
    </row>
    <row r="13" ht="15" customHeight="1" s="23">
      <c r="A13" s="26" t="inlineStr">
        <is>
          <t>Editable cells</t>
        </is>
      </c>
      <c r="B13" s="27" t="inlineStr">
        <is>
          <t>Yellow cells on Open Items, and the Automation Status / Execution Result / Notes columns on Test Cases.</t>
        </is>
      </c>
    </row>
    <row r="15" ht="15" customHeight="1" s="23">
      <c r="A15" s="25" t="inlineStr">
        <is>
          <t>Snapshot</t>
        </is>
      </c>
    </row>
    <row r="16" ht="15" customHeight="1" s="23">
      <c r="A16" s="28" t="inlineStr">
        <is>
          <t>Total test cases</t>
        </is>
      </c>
      <c r="B16" s="29">
        <f>COUNTA('Test Cases'!A2:A174)</f>
        <v/>
      </c>
    </row>
    <row r="17" ht="15" customHeight="1" s="23">
      <c r="A17" s="28" t="inlineStr">
        <is>
          <t>Critical severity</t>
        </is>
      </c>
      <c r="B17" s="29">
        <f>COUNTIF('Test Cases'!L2:L174,"Critical")</f>
        <v/>
      </c>
    </row>
    <row r="18" ht="15" customHeight="1" s="23">
      <c r="A18" s="28" t="inlineStr">
        <is>
          <t>P1 priority</t>
        </is>
      </c>
      <c r="B18" s="29">
        <f>COUNTIF('Test Cases'!M2:M174,"P1")</f>
        <v/>
      </c>
    </row>
    <row r="19" ht="15" customHeight="1" s="23">
      <c r="A19" s="28" t="inlineStr">
        <is>
          <t>Wave 1 (smoke)</t>
        </is>
      </c>
      <c r="B19" s="29">
        <f>COUNTIF('Test Cases'!N2:N174,1)</f>
        <v/>
      </c>
    </row>
    <row r="20" ht="15" customHeight="1" s="23">
      <c r="A20" s="28" t="inlineStr">
        <is>
          <t>Validation IDs covered</t>
        </is>
      </c>
      <c r="B20" s="29">
        <f>COUNTIF('Validation ID Matrix'!E4:E72,"Covered")&amp;" of "&amp;COUNTA('Validation ID Matrix'!A4:A72)</f>
        <v/>
      </c>
    </row>
    <row r="21" ht="15" customHeight="1" s="23">
      <c r="A21" s="28" t="inlineStr">
        <is>
          <t>Open items</t>
        </is>
      </c>
      <c r="B21" s="29">
        <f>COUNTIF('Open Items'!F4:F40,"Open")</f>
        <v/>
      </c>
    </row>
    <row r="22" ht="15" customHeight="1" s="23">
      <c r="A22" s="28" t="inlineStr">
        <is>
          <t>Automated test cases</t>
        </is>
      </c>
      <c r="B22" s="29">
        <f>COUNTIF('Test Cases'!Q2:Q174,"Automated")</f>
        <v/>
      </c>
    </row>
    <row r="23" ht="15" customHeight="1" s="23">
      <c r="A23" s="28" t="inlineStr">
        <is>
          <t>Playwright tests (npx playwright test --list)</t>
        </is>
      </c>
      <c r="B23" s="29" t="n">
        <v>123</v>
      </c>
    </row>
    <row r="24" ht="15" customHeight="1" s="23">
      <c r="A24" s="28" t="inlineStr">
        <is>
          <t>Executed: Pass</t>
        </is>
      </c>
      <c r="B24" s="29">
        <f>COUNTIF('Test Cases'!S2:S174,"Pass")</f>
        <v/>
      </c>
    </row>
    <row r="25" ht="15" customHeight="1" s="23">
      <c r="A25" s="28" t="inlineStr">
        <is>
          <t>Executed: Fail (all)</t>
        </is>
      </c>
      <c r="B25" s="29">
        <f>COUNTIF('Test Cases'!S2:S174,"Fail")</f>
        <v/>
      </c>
    </row>
    <row r="26" ht="15" customHeight="1" s="23">
      <c r="A26" s="28" t="inlineStr">
        <is>
          <t>Fail linked to a seeded defect</t>
        </is>
      </c>
      <c r="B26" s="29">
        <f>COUNTIFS('Test Cases'!S2:S174,"Fail",'Test Cases'!G2:G174,"DEF-*")</f>
        <v/>
      </c>
    </row>
    <row r="27" ht="15" customHeight="1" s="23">
      <c r="A27" s="28" t="inlineStr">
        <is>
          <t>Skipped (app gap / config)</t>
        </is>
      </c>
      <c r="B27" s="29">
        <f>COUNTIF('Test Cases'!S2:S174,"Skipped")</f>
        <v/>
      </c>
    </row>
    <row r="28" ht="15" customHeight="1" s="23">
      <c r="A28" s="28" t="inlineStr">
        <is>
          <t>Blocked (no REST API)</t>
        </is>
      </c>
      <c r="B28" s="29">
        <f>COUNTIF('Test Cases'!S2:S174,"Blocked")</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3864"/>
    <outlinePr summaryBelow="1" summaryRight="1"/>
    <pageSetUpPr fitToPage="0"/>
  </sheetPr>
  <dimension ref="A1:X124"/>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2" customWidth="1" style="22" min="1" max="1"/>
    <col width="38" customWidth="1" style="22" min="2" max="2"/>
    <col width="18" customWidth="1" style="22" min="3" max="3"/>
    <col width="9" customWidth="1" style="22" min="4" max="4"/>
    <col width="18" customWidth="1" style="22" min="5" max="5"/>
    <col width="12" customWidth="1" style="22" min="6" max="6"/>
    <col width="28" customWidth="1" style="22" min="7" max="7"/>
    <col width="32" customWidth="1" style="22" min="8" max="8"/>
    <col width="48" customWidth="1" style="22" min="9" max="9"/>
    <col width="26" customWidth="1" style="22" min="10" max="10"/>
    <col width="42" customWidth="1" style="22" min="11" max="11"/>
    <col width="10" customWidth="1" style="22" min="12" max="12"/>
    <col width="9" customWidth="1" style="22" min="13" max="13"/>
    <col width="8" customWidth="1" style="22" min="14" max="14"/>
    <col width="22" customWidth="1" style="22" min="15" max="15"/>
    <col width="26" customWidth="1" style="22" min="16" max="16"/>
    <col width="14" customWidth="1" style="22" min="17" max="17"/>
    <col width="34" customWidth="1" style="22" min="18" max="18"/>
    <col width="12" customWidth="1" style="22" min="19" max="19"/>
    <col width="26" customWidth="1" style="22" min="20" max="20"/>
    <col width="11" customWidth="1" style="22" min="21" max="21"/>
    <col width="12" customWidth="1" style="22" min="22" max="22"/>
    <col width="32" customWidth="1" style="22" min="23" max="23"/>
    <col width="36" customWidth="1" style="22" min="24" max="24"/>
  </cols>
  <sheetData>
    <row r="1" ht="31.5" customHeight="1" s="23">
      <c r="A1" s="30" t="inlineStr">
        <is>
          <t>Test Case ID</t>
        </is>
      </c>
      <c r="B1" s="30" t="inlineStr">
        <is>
          <t>Title</t>
        </is>
      </c>
      <c r="C1" s="30" t="inlineStr">
        <is>
          <t>Module</t>
        </is>
      </c>
      <c r="D1" s="30" t="inlineStr">
        <is>
          <t>Test Type</t>
        </is>
      </c>
      <c r="E1" s="30" t="inlineStr">
        <is>
          <t>Requirement / Validation ID</t>
        </is>
      </c>
      <c r="F1" s="30" t="inlineStr">
        <is>
          <t>Risk ID (Sub 1)</t>
        </is>
      </c>
      <c r="G1" s="30" t="inlineStr">
        <is>
          <t>Seeded Defect / Risk Link</t>
        </is>
      </c>
      <c r="H1" s="30" t="inlineStr">
        <is>
          <t>Preconditions</t>
        </is>
      </c>
      <c r="I1" s="30" t="inlineStr">
        <is>
          <t>Test Steps</t>
        </is>
      </c>
      <c r="J1" s="30" t="inlineStr">
        <is>
          <t>Test Data</t>
        </is>
      </c>
      <c r="K1" s="30" t="inlineStr">
        <is>
          <t>Expected Result</t>
        </is>
      </c>
      <c r="L1" s="30" t="inlineStr">
        <is>
          <t>Severity</t>
        </is>
      </c>
      <c r="M1" s="30" t="inlineStr">
        <is>
          <t>Priority</t>
        </is>
      </c>
      <c r="N1" s="30" t="inlineStr">
        <is>
          <t>Build Wave</t>
        </is>
      </c>
      <c r="O1" s="30" t="inlineStr">
        <is>
          <t>Tags</t>
        </is>
      </c>
      <c r="P1" s="30" t="inlineStr">
        <is>
          <t>Evidence Required</t>
        </is>
      </c>
      <c r="Q1" s="30" t="inlineStr">
        <is>
          <t>Automation Status</t>
        </is>
      </c>
      <c r="R1" s="30" t="inlineStr">
        <is>
          <t>Planned Spec File</t>
        </is>
      </c>
      <c r="S1" s="30" t="inlineStr">
        <is>
          <t>Execution Result</t>
        </is>
      </c>
      <c r="T1" s="30" t="inlineStr">
        <is>
          <t>Notes / Confirm</t>
        </is>
      </c>
      <c r="U1" s="30" t="inlineStr">
        <is>
          <t>Short-Cohort Set</t>
        </is>
      </c>
      <c r="V1" s="30" t="inlineStr">
        <is>
          <t>Scenario Type</t>
        </is>
      </c>
      <c r="W1" s="30" t="inlineStr">
        <is>
          <t>Backend Cross-check (API/DB)</t>
        </is>
      </c>
      <c r="X1" s="30" t="inlineStr">
        <is>
          <t>Isolation / Cleanup</t>
        </is>
      </c>
    </row>
    <row r="2" s="23">
      <c r="A2" s="31" t="inlineStr">
        <is>
          <t>TC-AUTH-01</t>
        </is>
      </c>
      <c r="B2" s="32" t="inlineStr">
        <is>
          <t>Valid agent logs in and lands on dashboard</t>
        </is>
      </c>
      <c r="C2" s="32" t="inlineStr">
        <is>
          <t>Authentication</t>
        </is>
      </c>
      <c r="D2" s="31" t="inlineStr">
        <is>
          <t>UI</t>
        </is>
      </c>
      <c r="E2" s="32" t="inlineStr">
        <is>
          <t>AUTH-V01</t>
        </is>
      </c>
      <c r="F2" s="32" t="inlineStr">
        <is>
          <t>QR-01</t>
        </is>
      </c>
      <c r="G2" s="32" t="inlineStr">
        <is>
          <t>Valid agent cannot log in after auth change</t>
        </is>
      </c>
      <c r="H2" s="32" t="inlineStr">
        <is>
          <t>App reachable; valid agent seeded; no active session.</t>
        </is>
      </c>
      <c r="I2" s="32" t="inlineStr">
        <is>
          <t>1. Open /login.
2. Enter valid username and password.
3. Click Sign in.</t>
        </is>
      </c>
      <c r="J2" s="32" t="inlineStr">
        <is>
          <t>VALID_AGENT credentials from .env</t>
        </is>
      </c>
      <c r="K2" s="32" t="inlineStr">
        <is>
          <t>Redirected to /dashboard; URL ends with /dashboard; agent greeting/name visible; no error message.</t>
        </is>
      </c>
      <c r="L2" s="31" t="inlineStr">
        <is>
          <t>Critical</t>
        </is>
      </c>
      <c r="M2" s="31" t="inlineStr">
        <is>
          <t>P1</t>
        </is>
      </c>
      <c r="N2" s="31" t="n">
        <v>1</v>
      </c>
      <c r="O2" s="32" t="inlineStr">
        <is>
          <t>@smoke @regression auth</t>
        </is>
      </c>
      <c r="P2" s="32" t="inlineStr">
        <is>
          <t>Screenshot of dashboard; trace on retry</t>
        </is>
      </c>
      <c r="Q2" s="31" t="inlineStr">
        <is>
          <t xml:space="preserve">Automated</t>
        </is>
      </c>
      <c r="R2" s="32" t="inlineStr">
        <is>
          <t>tests/auth/login.spec.ts</t>
        </is>
      </c>
      <c r="S2" s="31" t="inlineStr">
        <is>
          <t xml:space="preserve">Skipped</t>
        </is>
      </c>
      <c r="T2" s="32" t="inlineStr">
        <is>
          <t xml:space="preserve">APP GAP - automated, reported as fixme: no greeting / agent name is shown after login. Requirement kept as designed.</t>
        </is>
      </c>
      <c r="U2" s="31" t="inlineStr">
        <is>
          <t>Y</t>
        </is>
      </c>
      <c r="V2" s="31" t="inlineStr">
        <is>
          <t>Positive</t>
        </is>
      </c>
      <c r="W2" s="32" t="inlineStr">
        <is>
          <t>API: POST /api/auth/login returns 200 + token/session</t>
        </is>
      </c>
      <c r="X2" s="32" t="inlineStr">
        <is>
          <t>Creates its own application via fixture (independent; unique generated data).</t>
        </is>
      </c>
    </row>
    <row r="3" s="23">
      <c r="A3" s="31" t="inlineStr">
        <is>
          <t>TC-AUTH-02</t>
        </is>
      </c>
      <c r="B3" s="32" t="inlineStr">
        <is>
          <t>Invalid password and unknown user show the same safe error and no session</t>
        </is>
      </c>
      <c r="C3" s="32" t="inlineStr">
        <is>
          <t>Authentication</t>
        </is>
      </c>
      <c r="D3" s="31" t="inlineStr">
        <is>
          <t>UI</t>
        </is>
      </c>
      <c r="E3" s="32" t="inlineStr">
        <is>
          <t>AUTH-V02</t>
        </is>
      </c>
      <c r="F3" s="32" t="inlineStr">
        <is>
          <t>QR-01</t>
        </is>
      </c>
      <c r="G3" s="32" t="inlineStr">
        <is>
          <t>Misleading login error message</t>
        </is>
      </c>
      <c r="H3" s="32" t="inlineStr">
        <is>
          <t>Valid agent exists; no session.</t>
        </is>
      </c>
      <c r="I3" s="32" t="inlineStr">
        <is>
          <t>1. Open /login.
2. Enter valid username with wrong password; submit.
3. Enter an unknown username with any password; submit.
4. Try opening /dashboard.</t>
        </is>
      </c>
      <c r="J3" s="32" t="inlineStr">
        <is>
          <t>VALID_AGENT username + 'Wrong#Pass1'; 'no.such.user' + 'Wrong#Pass1'</t>
        </is>
      </c>
      <c r="K3" s="32" t="inlineStr">
        <is>
          <t>Stays on /login; invalid-credentials message visible (not 'account locked'); /dashboard still redirects to /login.</t>
        </is>
      </c>
      <c r="L3" s="31" t="inlineStr">
        <is>
          <t>High</t>
        </is>
      </c>
      <c r="M3" s="31" t="inlineStr">
        <is>
          <t>P1</t>
        </is>
      </c>
      <c r="N3" s="31" t="n">
        <v>2</v>
      </c>
      <c r="O3" s="32" t="inlineStr">
        <is>
          <t>@regression auth</t>
        </is>
      </c>
      <c r="P3" s="32" t="inlineStr">
        <is>
          <t>Screenshot of error message</t>
        </is>
      </c>
      <c r="Q3" s="31" t="inlineStr">
        <is>
          <t xml:space="preserve">Automated</t>
        </is>
      </c>
      <c r="R3" s="32" t="inlineStr">
        <is>
          <t>tests/auth/login.spec.ts</t>
        </is>
      </c>
      <c r="S3" s="31" t="inlineStr">
        <is>
          <t xml:space="preserve">Pass</t>
        </is>
      </c>
      <c r="T3" s="32" t="inlineStr">
        <is>
          <t xml:space="preserve">Run 23-Oct-2026 (chromium, --workers=1): Pass.</t>
        </is>
      </c>
      <c r="U3" s="31" t="inlineStr">
        <is>
          <t>N</t>
        </is>
      </c>
      <c r="V3" s="31" t="inlineStr">
        <is>
          <t>Negative</t>
        </is>
      </c>
      <c r="W3" s="32" t="inlineStr">
        <is>
          <t>-</t>
        </is>
      </c>
      <c r="X3" s="32" t="inlineStr">
        <is>
          <t>Creates its own application via fixture (independent; unique generated data).</t>
        </is>
      </c>
    </row>
    <row r="4" s="23">
      <c r="A4" s="31" t="inlineStr">
        <is>
          <t>TC-AUTH-03</t>
        </is>
      </c>
      <c r="B4" s="32" t="inlineStr">
        <is>
          <t>Blank username and password show mandatory-field errors</t>
        </is>
      </c>
      <c r="C4" s="32" t="inlineStr">
        <is>
          <t>Authentication</t>
        </is>
      </c>
      <c r="D4" s="31" t="inlineStr">
        <is>
          <t>UI</t>
        </is>
      </c>
      <c r="E4" s="32" t="inlineStr">
        <is>
          <t>AUTH-V03</t>
        </is>
      </c>
      <c r="F4" s="32" t="inlineStr">
        <is>
          <t>QR-01</t>
        </is>
      </c>
      <c r="G4" s="32" t="inlineStr">
        <is>
          <t>Mandatory login validation missing</t>
        </is>
      </c>
      <c r="H4" s="32" t="inlineStr">
        <is>
          <t>On /login with empty form.</t>
        </is>
      </c>
      <c r="I4" s="32" t="inlineStr">
        <is>
          <t>1. Leave username and password empty.
2. Click Sign in.</t>
        </is>
      </c>
      <c r="J4" s="32" t="inlineStr">
        <is>
          <t>Empty values</t>
        </is>
      </c>
      <c r="K4" s="32" t="inlineStr">
        <is>
          <t xml:space="preserve">The browser's required-field validation blocks the submit and flags both Email and Password; stays on /login; no session is created.</t>
        </is>
      </c>
      <c r="L4" s="31" t="inlineStr">
        <is>
          <t>Medium</t>
        </is>
      </c>
      <c r="M4" s="31" t="inlineStr">
        <is>
          <t>P2</t>
        </is>
      </c>
      <c r="N4" s="31" t="n">
        <v>2</v>
      </c>
      <c r="O4" s="32" t="inlineStr">
        <is>
          <t>@regression auth</t>
        </is>
      </c>
      <c r="P4" s="32" t="inlineStr">
        <is>
          <t>Screenshot of field errors</t>
        </is>
      </c>
      <c r="Q4" s="31" t="inlineStr">
        <is>
          <t xml:space="preserve">Automated</t>
        </is>
      </c>
      <c r="R4" s="32" t="inlineStr">
        <is>
          <t>tests/auth/login.spec.ts</t>
        </is>
      </c>
      <c r="S4" s="31" t="inlineStr">
        <is>
          <t xml:space="preserve">Pass</t>
        </is>
      </c>
      <c r="T4" s="32" t="inlineStr">
        <is>
          <t xml:space="preserve">Run 23-Oct-2026 (chromium, --workers=1): Pass. Steps/expected result updated to match the app: Login inputs use the native required attribute, so no server message appears.</t>
        </is>
      </c>
      <c r="U4" s="31" t="inlineStr">
        <is>
          <t>N</t>
        </is>
      </c>
      <c r="V4" s="31" t="inlineStr">
        <is>
          <t>Negative</t>
        </is>
      </c>
      <c r="W4" s="32" t="inlineStr">
        <is>
          <t>-</t>
        </is>
      </c>
      <c r="X4" s="32" t="inlineStr">
        <is>
          <t>Creates its own application via fixture (independent; unique generated data).</t>
        </is>
      </c>
    </row>
    <row r="5" s="23">
      <c r="A5" s="31" t="inlineStr">
        <is>
          <t>TC-AUTH-04</t>
        </is>
      </c>
      <c r="B5" s="32" t="inlineStr">
        <is>
          <t>Logout clears session and protected routes redirect</t>
        </is>
      </c>
      <c r="C5" s="32" t="inlineStr">
        <is>
          <t>Authentication</t>
        </is>
      </c>
      <c r="D5" s="31" t="inlineStr">
        <is>
          <t>UI</t>
        </is>
      </c>
      <c r="E5" s="32" t="inlineStr">
        <is>
          <t>AUTH-V04</t>
        </is>
      </c>
      <c r="F5" s="32" t="inlineStr">
        <is>
          <t>QR-01</t>
        </is>
      </c>
      <c r="G5" s="32" t="inlineStr">
        <is>
          <t>No logout session clearing</t>
        </is>
      </c>
      <c r="H5" s="32" t="inlineStr">
        <is>
          <t>Logged in as valid agent.</t>
        </is>
      </c>
      <c r="I5" s="32" t="inlineStr">
        <is>
          <t>1. Click Logout.
2. Confirm redirect to /login.
3. Use browser Back.
4. Open /dashboard directly.</t>
        </is>
      </c>
      <c r="J5" s="32" t="inlineStr">
        <is>
          <t>VALID_AGENT</t>
        </is>
      </c>
      <c r="K5" s="32" t="inlineStr">
        <is>
          <t>Redirected to /login after logout; Back and direct /dashboard access redirect to /login; session cookie/token cleared.</t>
        </is>
      </c>
      <c r="L5" s="31" t="inlineStr">
        <is>
          <t>Critical</t>
        </is>
      </c>
      <c r="M5" s="31" t="inlineStr">
        <is>
          <t>P1</t>
        </is>
      </c>
      <c r="N5" s="31" t="n">
        <v>1</v>
      </c>
      <c r="O5" s="32" t="inlineStr">
        <is>
          <t>@smoke @regression auth</t>
        </is>
      </c>
      <c r="P5" s="32" t="inlineStr">
        <is>
          <t>Screenshot + cookie state note</t>
        </is>
      </c>
      <c r="Q5" s="31" t="inlineStr">
        <is>
          <t xml:space="preserve">Automated</t>
        </is>
      </c>
      <c r="R5" s="32" t="inlineStr">
        <is>
          <t>tests/auth/session.spec.ts</t>
        </is>
      </c>
      <c r="S5" s="31" t="inlineStr">
        <is>
          <t xml:space="preserve">Fail</t>
        </is>
      </c>
      <c r="T5" s="32" t="inlineStr">
        <is>
          <t xml:space="preserve">NEW DEFECT (not in the seeded catalog): after logout the dashboard is still reachable (expected /login, got /dashboard). Run 23-Oct-2026 (chromium, --workers=1).</t>
        </is>
      </c>
      <c r="U5" s="31" t="inlineStr">
        <is>
          <t>Y</t>
        </is>
      </c>
      <c r="V5" s="31" t="inlineStr">
        <is>
          <t>Positive</t>
        </is>
      </c>
      <c r="W5" s="32" t="inlineStr">
        <is>
          <t>API: GET /api/applications returns 401 after logout</t>
        </is>
      </c>
      <c r="X5" s="32" t="inlineStr">
        <is>
          <t>Creates its own application via fixture (independent; unique generated data).</t>
        </is>
      </c>
    </row>
    <row r="6" s="23">
      <c r="A6" s="31" t="inlineStr">
        <is>
          <t>TC-AUTH-05</t>
        </is>
      </c>
      <c r="B6" s="32" t="inlineStr">
        <is>
          <t>Direct access to protected routes without login is blocked</t>
        </is>
      </c>
      <c r="C6" s="32" t="inlineStr">
        <is>
          <t>Authentication</t>
        </is>
      </c>
      <c r="D6" s="31" t="inlineStr">
        <is>
          <t>UI</t>
        </is>
      </c>
      <c r="E6" s="32" t="inlineStr">
        <is>
          <t>AUTH-V05</t>
        </is>
      </c>
      <c r="F6" s="32" t="inlineStr">
        <is>
          <t>QR-01</t>
        </is>
      </c>
      <c r="G6" s="32" t="inlineStr">
        <is>
          <t>Dashboard reachable without login</t>
        </is>
      </c>
      <c r="H6" s="32" t="inlineStr">
        <is>
          <t>Fresh browser context, no cookies.</t>
        </is>
      </c>
      <c r="I6" s="32" t="inlineStr">
        <is>
          <t>1. Open /dashboard in a fresh context.
2. Open /applications/new.
3. Open /applications/&lt;id&gt;/review.</t>
        </is>
      </c>
      <c r="J6" s="32" t="inlineStr">
        <is>
          <t>Seeded application id</t>
        </is>
      </c>
      <c r="K6" s="32" t="inlineStr">
        <is>
          <t>Each URL redirects to /login; no dashboard or application data is rendered.</t>
        </is>
      </c>
      <c r="L6" s="31" t="inlineStr">
        <is>
          <t>Critical</t>
        </is>
      </c>
      <c r="M6" s="31" t="inlineStr">
        <is>
          <t>P1</t>
        </is>
      </c>
      <c r="N6" s="31" t="n">
        <v>1</v>
      </c>
      <c r="O6" s="32" t="inlineStr">
        <is>
          <t>@smoke @regression auth</t>
        </is>
      </c>
      <c r="P6" s="32" t="inlineStr">
        <is>
          <t>Screenshot; URL assertion in trace</t>
        </is>
      </c>
      <c r="Q6" s="31" t="inlineStr">
        <is>
          <t xml:space="preserve">Automated</t>
        </is>
      </c>
      <c r="R6" s="32" t="inlineStr">
        <is>
          <t>tests/auth/session.spec.ts</t>
        </is>
      </c>
      <c r="S6" s="31" t="inlineStr">
        <is>
          <t xml:space="preserve">Pass</t>
        </is>
      </c>
      <c r="T6" s="32" t="inlineStr">
        <is>
          <t xml:space="preserve">Run 23-Oct-2026 (chromium, --workers=1): Pass.</t>
        </is>
      </c>
      <c r="U6" s="31" t="inlineStr">
        <is>
          <t>Y</t>
        </is>
      </c>
      <c r="V6" s="31" t="inlineStr">
        <is>
          <t>Negative</t>
        </is>
      </c>
      <c r="W6" s="32" t="inlineStr">
        <is>
          <t>-</t>
        </is>
      </c>
      <c r="X6" s="32" t="inlineStr">
        <is>
          <t>Creates its own application via fixture (independent; unique generated data).</t>
        </is>
      </c>
    </row>
    <row r="7" s="23">
      <c r="A7" s="31" t="inlineStr">
        <is>
          <t>TC-AUTH-06</t>
        </is>
      </c>
      <c r="B7" s="32" t="inlineStr">
        <is>
          <t>Locked user cannot access dashboard and sees accurate message</t>
        </is>
      </c>
      <c r="C7" s="32" t="inlineStr">
        <is>
          <t>Authentication</t>
        </is>
      </c>
      <c r="D7" s="31" t="inlineStr">
        <is>
          <t>UI</t>
        </is>
      </c>
      <c r="E7" s="32" t="inlineStr">
        <is>
          <t>AUTH-V06</t>
        </is>
      </c>
      <c r="F7" s="32" t="inlineStr">
        <is>
          <t>QR-01</t>
        </is>
      </c>
      <c r="G7" s="32" t="inlineStr">
        <is>
          <t xml:space="preserve">DEF-AUTH-001 - Locked account message mismatch</t>
        </is>
      </c>
      <c r="H7" s="32" t="inlineStr">
        <is>
          <t>Locked agent seeded.</t>
        </is>
      </c>
      <c r="I7" s="32" t="inlineStr">
        <is>
          <t>1. Open /login.
2. Enter locked agent credentials.
3. Click Sign in.
4. Open /dashboard.</t>
        </is>
      </c>
      <c r="J7" s="32" t="inlineStr">
        <is>
          <t>LOCKED_AGENT credentials</t>
        </is>
      </c>
      <c r="K7" s="32" t="inlineStr">
        <is>
          <t>Account-locked message shown (accurate wording); no session created; /dashboard redirects to /login.</t>
        </is>
      </c>
      <c r="L7" s="31" t="inlineStr">
        <is>
          <t>High</t>
        </is>
      </c>
      <c r="M7" s="31" t="inlineStr">
        <is>
          <t>P1</t>
        </is>
      </c>
      <c r="N7" s="31" t="n">
        <v>2</v>
      </c>
      <c r="O7" s="32" t="inlineStr">
        <is>
          <t>@regression auth</t>
        </is>
      </c>
      <c r="P7" s="32" t="inlineStr">
        <is>
          <t>Screenshot of locked message</t>
        </is>
      </c>
      <c r="Q7" s="31" t="inlineStr">
        <is>
          <t xml:space="preserve">Automated</t>
        </is>
      </c>
      <c r="R7" s="32" t="inlineStr">
        <is>
          <t>tests/auth/lockout.spec.ts</t>
        </is>
      </c>
      <c r="S7" s="31" t="inlineStr">
        <is>
          <t xml:space="preserve">Fail</t>
        </is>
      </c>
      <c r="T7" s="32" t="inlineStr">
        <is>
          <t xml:space="preserve">FAIL BY DESIGN - seeded defect DEF-AUTH-001 (Locked account message mismatch): locked user gets the generic "invalid credentials" message. Run 23-Oct-2026 (chromium, --workers=1).</t>
        </is>
      </c>
      <c r="U7" s="31" t="inlineStr">
        <is>
          <t>N</t>
        </is>
      </c>
      <c r="V7" s="31" t="inlineStr">
        <is>
          <t>Negative</t>
        </is>
      </c>
      <c r="W7" s="32" t="inlineStr">
        <is>
          <t>-</t>
        </is>
      </c>
      <c r="X7" s="32" t="inlineStr">
        <is>
          <t>Read-only: uses seeded locked agent.</t>
        </is>
      </c>
    </row>
    <row r="8" s="23">
      <c r="A8" s="31" t="inlineStr">
        <is>
          <t>TC-AUTH-07</t>
        </is>
      </c>
      <c r="B8" s="32" t="inlineStr">
        <is>
          <t>Account locks after five failed login attempts</t>
        </is>
      </c>
      <c r="C8" s="32" t="inlineStr">
        <is>
          <t>Authentication</t>
        </is>
      </c>
      <c r="D8" s="31" t="inlineStr">
        <is>
          <t>UI</t>
        </is>
      </c>
      <c r="E8" s="32" t="inlineStr">
        <is>
          <t>AUTH-V07</t>
        </is>
      </c>
      <c r="F8" s="32" t="inlineStr">
        <is>
          <t>QR-01</t>
        </is>
      </c>
      <c r="G8" s="32" t="inlineStr">
        <is>
          <t>Lockout not enforced at 5 attempts</t>
        </is>
      </c>
      <c r="H8" s="32" t="inlineStr">
        <is>
          <t>Dedicated non-locked test agent reserved for this test (lock state persists).</t>
        </is>
      </c>
      <c r="I8" s="32" t="inlineStr">
        <is>
          <t>1. Submit wrong password 4 times; confirm normal invalid message each time.
2. Submit wrong password a 5th time.
3. Submit the CORRECT password.</t>
        </is>
      </c>
      <c r="J8" s="32" t="inlineStr">
        <is>
          <t>LOCKOUT_TEST_AGENT + wrong password</t>
        </is>
      </c>
      <c r="K8" s="32" t="inlineStr">
        <is>
          <t>After the 5th failure the account is locked; correct password is then rejected with locked message. Lock is NOT triggered on attempt 4.</t>
        </is>
      </c>
      <c r="L8" s="31" t="inlineStr">
        <is>
          <t>High</t>
        </is>
      </c>
      <c r="M8" s="31" t="inlineStr">
        <is>
          <t>P1</t>
        </is>
      </c>
      <c r="N8" s="31" t="n">
        <v>2</v>
      </c>
      <c r="O8" s="32" t="inlineStr">
        <is>
          <t>@regression auth</t>
        </is>
      </c>
      <c r="P8" s="32" t="inlineStr">
        <is>
          <t>Screenshots after attempt 4, 5 and correct-password try</t>
        </is>
      </c>
      <c r="Q8" s="31" t="inlineStr">
        <is>
          <t xml:space="preserve">Automated</t>
        </is>
      </c>
      <c r="R8" s="32" t="inlineStr">
        <is>
          <t>tests/auth/lockout.spec.ts</t>
        </is>
      </c>
      <c r="S8" s="31" t="inlineStr">
        <is>
          <t xml:space="preserve">Skipped</t>
        </is>
      </c>
      <c r="T8" s="32" t="inlineStr">
        <is>
          <t xml:space="preserve">Did not run: serial lockout test that runs after TC-AUTH-06, which fails by design (DEF-AUTH-001).</t>
        </is>
      </c>
      <c r="U8" s="31" t="inlineStr">
        <is>
          <t>Y</t>
        </is>
      </c>
      <c r="V8" s="31" t="inlineStr">
        <is>
          <t>Boundary</t>
        </is>
      </c>
      <c r="W8" s="32" t="inlineStr">
        <is>
          <t>DB (if approved): failed_attempts / locked flag</t>
        </is>
      </c>
      <c r="X8" s="32" t="inlineStr">
        <is>
          <t>Reserved LOCKOUT_TEST_AGENT; needs manual/admin unlock after run - run serially (workers=1 for this file).</t>
        </is>
      </c>
    </row>
    <row r="9" s="23">
      <c r="A9" s="31" t="inlineStr">
        <is>
          <t>TC-AUTH-08</t>
        </is>
      </c>
      <c r="B9" s="32" t="inlineStr">
        <is>
          <t>Weak password rejected during reset/change</t>
        </is>
      </c>
      <c r="C9" s="32" t="inlineStr">
        <is>
          <t>Authentication</t>
        </is>
      </c>
      <c r="D9" s="31" t="inlineStr">
        <is>
          <t>UI</t>
        </is>
      </c>
      <c r="E9" s="32" t="inlineStr">
        <is>
          <t>AUTH-V08</t>
        </is>
      </c>
      <c r="F9" s="32" t="inlineStr">
        <is>
          <t>QR-01</t>
        </is>
      </c>
      <c r="G9" s="32" t="inlineStr">
        <is>
          <t>Weak password accepted</t>
        </is>
      </c>
      <c r="H9" s="32" t="inlineStr">
        <is>
          <t>Reset/change password reachable (/forgot-password or profile).</t>
        </is>
      </c>
      <c r="I9" s="32" t="inlineStr">
        <is>
          <t>1. Start reset for a test agent.
2. Enter new password from weak set (short, no digit, no special, common word).
3. Submit.</t>
        </is>
      </c>
      <c r="J9" s="32" t="inlineStr">
        <is>
          <t>'abc', 'password', '12345678', 'Abcdefgh'</t>
        </is>
      </c>
      <c r="K9" s="32" t="inlineStr">
        <is>
          <t>Each weak value rejected with a clear policy message; password not changed (old password still works).</t>
        </is>
      </c>
      <c r="L9" s="31" t="inlineStr">
        <is>
          <t>High</t>
        </is>
      </c>
      <c r="M9" s="31" t="inlineStr">
        <is>
          <t>P1</t>
        </is>
      </c>
      <c r="N9" s="31" t="n">
        <v>2</v>
      </c>
      <c r="O9" s="32" t="inlineStr">
        <is>
          <t>@regression auth</t>
        </is>
      </c>
      <c r="P9" s="32" t="inlineStr">
        <is>
          <t>Screenshot per weak value</t>
        </is>
      </c>
      <c r="Q9" s="31" t="inlineStr">
        <is>
          <t xml:space="preserve">Automated</t>
        </is>
      </c>
      <c r="R9" s="32" t="inlineStr">
        <is>
          <t>tests/auth/password.spec.ts</t>
        </is>
      </c>
      <c r="S9" s="31" t="inlineStr">
        <is>
          <t xml:space="preserve">Pass</t>
        </is>
      </c>
      <c r="T9" s="32" t="inlineStr">
        <is>
          <t xml:space="preserve">Run 23-Oct-2026 (chromium, --workers=1): Pass.</t>
        </is>
      </c>
      <c r="U9" s="31" t="inlineStr">
        <is>
          <t>N</t>
        </is>
      </c>
      <c r="V9" s="31" t="inlineStr">
        <is>
          <t>Negative</t>
        </is>
      </c>
      <c r="W9" s="32" t="inlineStr">
        <is>
          <t>-</t>
        </is>
      </c>
      <c r="X9" s="32" t="inlineStr">
        <is>
          <t>Disposable agent; no password change persists on rejection.</t>
        </is>
      </c>
    </row>
    <row r="10" s="23">
      <c r="A10" s="31" t="inlineStr">
        <is>
          <t>TC-AUTH-09</t>
        </is>
      </c>
      <c r="B10" s="32" t="inlineStr">
        <is>
          <t>MFA agent completes login with simulated OTP</t>
        </is>
      </c>
      <c r="C10" s="32" t="inlineStr">
        <is>
          <t>Authentication</t>
        </is>
      </c>
      <c r="D10" s="31" t="inlineStr">
        <is>
          <t>UI</t>
        </is>
      </c>
      <c r="E10" s="32" t="inlineStr">
        <is>
          <t>Guideline: reset OTP / MFA</t>
        </is>
      </c>
      <c r="F10" s="32" t="inlineStr">
        <is>
          <t>QR-01</t>
        </is>
      </c>
      <c r="G10" s="32" t="inlineStr">
        <is>
          <t>MFA/OTP bypass or wrong-code acceptance</t>
        </is>
      </c>
      <c r="H10" s="32" t="inlineStr">
        <is>
          <t>MFA agent seeded; OTP value known/simulated.</t>
        </is>
      </c>
      <c r="I10" s="32" t="inlineStr">
        <is>
          <t>1. Login as MFA agent.
2. Enter wrong OTP, observe error.
3. Enter correct OTP.</t>
        </is>
      </c>
      <c r="J10" s="32" t="inlineStr">
        <is>
          <t>MFA_AGENT, OTP from .env (CONFIRM)</t>
        </is>
      </c>
      <c r="K10" s="32" t="inlineStr">
        <is>
          <t>Wrong OTP rejected; correct OTP reaches /dashboard.</t>
        </is>
      </c>
      <c r="L10" s="31" t="inlineStr">
        <is>
          <t>High</t>
        </is>
      </c>
      <c r="M10" s="31" t="inlineStr">
        <is>
          <t>P2</t>
        </is>
      </c>
      <c r="N10" s="31" t="n">
        <v>3</v>
      </c>
      <c r="O10" s="32" t="inlineStr">
        <is>
          <t>@regression auth</t>
        </is>
      </c>
      <c r="P10" s="32" t="inlineStr">
        <is>
          <t>Screenshots of OTP error and dashboard</t>
        </is>
      </c>
      <c r="Q10" s="31" t="inlineStr">
        <is>
          <t xml:space="preserve">Automated</t>
        </is>
      </c>
      <c r="R10" s="32" t="inlineStr">
        <is>
          <t>tests/auth/mfa.spec.ts</t>
        </is>
      </c>
      <c r="S10" s="31" t="inlineStr">
        <is>
          <t xml:space="preserve">Skipped</t>
        </is>
      </c>
      <c r="T10" s="32" t="inlineStr">
        <is>
          <t xml:space="preserve">Skipped: MFA_OTP not configured (no MFA agent OTP available in the lab).</t>
        </is>
      </c>
      <c r="U10" s="31" t="inlineStr">
        <is>
          <t>N</t>
        </is>
      </c>
      <c r="V10" s="31" t="inlineStr">
        <is>
          <t>Positive</t>
        </is>
      </c>
      <c r="W10" s="32" t="inlineStr">
        <is>
          <t>-</t>
        </is>
      </c>
      <c r="X10" s="32" t="inlineStr">
        <is>
          <t>Creates its own application via fixture (independent; unique generated data).</t>
        </is>
      </c>
    </row>
    <row r="11" s="23">
      <c r="A11" s="31" t="inlineStr">
        <is>
          <t>TC-AUTH-10</t>
        </is>
      </c>
      <c r="B11" s="32" t="inlineStr">
        <is>
          <t>Password reset via OTP succeeds with valid new password</t>
        </is>
      </c>
      <c r="C11" s="32" t="inlineStr">
        <is>
          <t>Authentication</t>
        </is>
      </c>
      <c r="D11" s="31" t="inlineStr">
        <is>
          <t>UI</t>
        </is>
      </c>
      <c r="E11" s="32" t="inlineStr">
        <is>
          <t>Guideline: reset OTP</t>
        </is>
      </c>
      <c r="F11" s="32" t="inlineStr">
        <is>
          <t>QR-01</t>
        </is>
      </c>
      <c r="G11" s="32" t="inlineStr">
        <is>
          <t>Reset OTP flow broken</t>
        </is>
      </c>
      <c r="H11" s="32" t="inlineStr">
        <is>
          <t>Disposable test agent; /forgot-password available.</t>
        </is>
      </c>
      <c r="I11" s="32" t="inlineStr">
        <is>
          <t>1. Open /forgot-password; enter username/email.
2. Enter simulated OTP.
3. Set compliant new password.
4. Login with new password.</t>
        </is>
      </c>
      <c r="J11" s="32" t="inlineStr">
        <is>
          <t>Reset test agent; strong password</t>
        </is>
      </c>
      <c r="K11" s="32" t="inlineStr">
        <is>
          <t>Reset completes; login with new password succeeds; old password no longer works.</t>
        </is>
      </c>
      <c r="L11" s="31" t="inlineStr">
        <is>
          <t>Medium</t>
        </is>
      </c>
      <c r="M11" s="31" t="inlineStr">
        <is>
          <t>P3</t>
        </is>
      </c>
      <c r="N11" s="31" t="n">
        <v>3</v>
      </c>
      <c r="O11" s="32" t="inlineStr">
        <is>
          <t>@regression auth</t>
        </is>
      </c>
      <c r="P11" s="32" t="inlineStr">
        <is>
          <t>Screenshots of each step</t>
        </is>
      </c>
      <c r="Q11" s="31" t="inlineStr">
        <is>
          <t xml:space="preserve">Automated</t>
        </is>
      </c>
      <c r="R11" s="32" t="inlineStr">
        <is>
          <t>tests/auth/password.spec.ts</t>
        </is>
      </c>
      <c r="S11" s="31" t="inlineStr">
        <is>
          <t xml:space="preserve">Pass</t>
        </is>
      </c>
      <c r="T11" s="32" t="inlineStr">
        <is>
          <t xml:space="preserve">Run 23-Oct-2026 (chromium, --workers=1): Pass.</t>
        </is>
      </c>
      <c r="U11" s="31" t="inlineStr">
        <is>
          <t>N</t>
        </is>
      </c>
      <c r="V11" s="31" t="inlineStr">
        <is>
          <t>Positive</t>
        </is>
      </c>
      <c r="W11" s="32" t="inlineStr">
        <is>
          <t>-</t>
        </is>
      </c>
      <c r="X11" s="32" t="inlineStr">
        <is>
          <t>Disposable reset agent; password restored in afterEach.</t>
        </is>
      </c>
    </row>
    <row r="12" s="23">
      <c r="A12" s="31" t="inlineStr">
        <is>
          <t>TC-AUTH-11</t>
        </is>
      </c>
      <c r="B12" s="32" t="inlineStr">
        <is>
          <t>Reusing the same password on reset is rejected</t>
        </is>
      </c>
      <c r="C12" s="32" t="inlineStr">
        <is>
          <t>Authentication</t>
        </is>
      </c>
      <c r="D12" s="31" t="inlineStr">
        <is>
          <t>UI</t>
        </is>
      </c>
      <c r="E12" s="32" t="inlineStr">
        <is>
          <t>Guideline: same password reuse</t>
        </is>
      </c>
      <c r="F12" s="32" t="inlineStr">
        <is>
          <t>QR-01</t>
        </is>
      </c>
      <c r="G12" s="32" t="inlineStr">
        <is>
          <t xml:space="preserve">DEF-AUTH-006 - Same password accepted</t>
        </is>
      </c>
      <c r="H12" s="32" t="inlineStr">
        <is>
          <t>Disposable test agent with known current password.</t>
        </is>
      </c>
      <c r="I12" s="32" t="inlineStr">
        <is>
          <t>1. Start password reset/change.
2. Enter new password identical to current password.
3. Submit.</t>
        </is>
      </c>
      <c r="J12" s="32" t="inlineStr">
        <is>
          <t>Current password</t>
        </is>
      </c>
      <c r="K12" s="32" t="inlineStr">
        <is>
          <t>Request rejected with a 'cannot reuse' message; password unchanged.</t>
        </is>
      </c>
      <c r="L12" s="31" t="inlineStr">
        <is>
          <t>Medium</t>
        </is>
      </c>
      <c r="M12" s="31" t="inlineStr">
        <is>
          <t>P3</t>
        </is>
      </c>
      <c r="N12" s="31" t="n">
        <v>3</v>
      </c>
      <c r="O12" s="32" t="inlineStr">
        <is>
          <t>@regression auth</t>
        </is>
      </c>
      <c r="P12" s="32" t="inlineStr">
        <is>
          <t>Screenshot of rejection</t>
        </is>
      </c>
      <c r="Q12" s="31" t="inlineStr">
        <is>
          <t xml:space="preserve">Automated</t>
        </is>
      </c>
      <c r="R12" s="32" t="inlineStr">
        <is>
          <t>tests/auth/password.spec.ts</t>
        </is>
      </c>
      <c r="S12" s="31" t="inlineStr">
        <is>
          <t xml:space="preserve">Fail</t>
        </is>
      </c>
      <c r="T12" s="32" t="inlineStr">
        <is>
          <t xml:space="preserve">FAIL BY DESIGN - seeded defect DEF-AUTH-006 (Same password accepted): reset accepts the same password as the current one. Run 23-Oct-2026 (chromium, --workers=1).</t>
        </is>
      </c>
      <c r="U12" s="31" t="inlineStr">
        <is>
          <t>N</t>
        </is>
      </c>
      <c r="V12" s="31" t="inlineStr">
        <is>
          <t>Negative</t>
        </is>
      </c>
      <c r="W12" s="32" t="inlineStr">
        <is>
          <t>-</t>
        </is>
      </c>
      <c r="X12" s="32" t="inlineStr">
        <is>
          <t>Disposable reset agent; password restored in afterEach.</t>
        </is>
      </c>
    </row>
    <row r="13" s="23">
      <c r="A13" s="31" t="inlineStr">
        <is>
          <t>TC-AUTH-12</t>
        </is>
      </c>
      <c r="B13" s="32" t="inlineStr">
        <is>
          <t>Expired/timed-out session forces re-login without data exposure</t>
        </is>
      </c>
      <c r="C13" s="32" t="inlineStr">
        <is>
          <t>Authentication</t>
        </is>
      </c>
      <c r="D13" s="31" t="inlineStr">
        <is>
          <t>UI</t>
        </is>
      </c>
      <c r="E13" s="32" t="inlineStr">
        <is>
          <t>Spec: session timeout / Sub 1 path 'Session expiration'</t>
        </is>
      </c>
      <c r="F13" s="32" t="inlineStr">
        <is>
          <t>QR-01, QR-10</t>
        </is>
      </c>
      <c r="G13" s="32" t="inlineStr">
        <is>
          <t>Session not invalidated on timeout</t>
        </is>
      </c>
      <c r="H13" s="32" t="inlineStr">
        <is>
          <t>Logged in; session lifetime known (CONFIRM) or session cookie can be cleared/expired in the test.</t>
        </is>
      </c>
      <c r="I13" s="32" t="inlineStr">
        <is>
          <t xml:space="preserve">1. Login, save the Client step, then type an unsaved edit (occupation).
2. Expire the session (clear cookies and browser storage).
3. Click Save and Continue.
4. Reopen the step URL.
5. Log in again and reopen the step.</t>
        </is>
      </c>
      <c r="J13" s="32" t="inlineStr">
        <is>
          <t>VALID_AGENT</t>
        </is>
      </c>
      <c r="K13" s="32" t="inlineStr">
        <is>
          <t xml:space="preserve">Save is rejected (Laravel 419 "Page Expired") and no client data is shown; reopening the step redirects to /login; after re-login the saved data is intact and the unsaved edit was not stored. API 401 check applies only when a REST API exists.</t>
        </is>
      </c>
      <c r="L13" s="31" t="inlineStr">
        <is>
          <t>High</t>
        </is>
      </c>
      <c r="M13" s="31" t="inlineStr">
        <is>
          <t>P2</t>
        </is>
      </c>
      <c r="N13" s="31" t="n">
        <v>3</v>
      </c>
      <c r="O13" s="32" t="inlineStr">
        <is>
          <t>@regression auth</t>
        </is>
      </c>
      <c r="P13" s="32" t="inlineStr">
        <is>
          <t>Screenshot of redirect; network log showing 401</t>
        </is>
      </c>
      <c r="Q13" s="31" t="inlineStr">
        <is>
          <t xml:space="preserve">Automated</t>
        </is>
      </c>
      <c r="R13" s="32" t="inlineStr">
        <is>
          <t>tests/auth/session.spec.ts</t>
        </is>
      </c>
      <c r="S13" s="31" t="inlineStr">
        <is>
          <t xml:space="preserve">Pass</t>
        </is>
      </c>
      <c r="T13" s="32" t="inlineStr">
        <is>
          <t xml:space="preserve">Run 23-Oct-2026 (chromium, --workers=1): Pass. Steps/expected result updated to match the app: Session expiry shows "Page Expired" (419) on save, then /login on the next request.</t>
        </is>
      </c>
      <c r="U13" s="31" t="inlineStr">
        <is>
          <t>N</t>
        </is>
      </c>
      <c r="V13" s="31" t="inlineStr">
        <is>
          <t>Negative</t>
        </is>
      </c>
      <c r="W13" s="32" t="inlineStr">
        <is>
          <t>-</t>
        </is>
      </c>
      <c r="X13" s="32" t="inlineStr">
        <is>
          <t>Creates its own application via fixture (independent; unique generated data).</t>
        </is>
      </c>
    </row>
    <row r="14" s="23">
      <c r="A14" s="31" t="inlineStr">
        <is>
          <t>TC-AUTH-13</t>
        </is>
      </c>
      <c r="B14" s="32" t="inlineStr">
        <is>
          <t>Pending (unapproved) agent cannot access the platform</t>
        </is>
      </c>
      <c r="C14" s="32" t="inlineStr">
        <is>
          <t>Authentication</t>
        </is>
      </c>
      <c r="D14" s="31" t="inlineStr">
        <is>
          <t>UI</t>
        </is>
      </c>
      <c r="E14" s="32" t="inlineStr">
        <is>
          <t>Spec: user type 'pending agent'</t>
        </is>
      </c>
      <c r="F14" s="32" t="inlineStr">
        <is>
          <t>QR-01</t>
        </is>
      </c>
      <c r="G14" s="32" t="inlineStr">
        <is>
          <t>Unapproved account gains access</t>
        </is>
      </c>
      <c r="H14" s="32" t="inlineStr">
        <is>
          <t>Pending agent seeded.</t>
        </is>
      </c>
      <c r="I14" s="32" t="inlineStr">
        <is>
          <t>1. Login with pending agent credentials.
2. Open /dashboard.</t>
        </is>
      </c>
      <c r="J14" s="32" t="inlineStr">
        <is>
          <t>PENDING_AGENT</t>
        </is>
      </c>
      <c r="K14" s="32" t="inlineStr">
        <is>
          <t>Access is denied with an accurate pending-approval message (behavior CONFIRM); no session granted; /dashboard redirects to /login.</t>
        </is>
      </c>
      <c r="L14" s="31" t="inlineStr">
        <is>
          <t>High</t>
        </is>
      </c>
      <c r="M14" s="31" t="inlineStr">
        <is>
          <t>P2</t>
        </is>
      </c>
      <c r="N14" s="31" t="n">
        <v>3</v>
      </c>
      <c r="O14" s="32" t="inlineStr">
        <is>
          <t>@regression auth</t>
        </is>
      </c>
      <c r="P14" s="32" t="inlineStr">
        <is>
          <t>Screenshot of message</t>
        </is>
      </c>
      <c r="Q14" s="31" t="inlineStr">
        <is>
          <t xml:space="preserve">Automated</t>
        </is>
      </c>
      <c r="R14" s="32" t="inlineStr">
        <is>
          <t>tests/auth/login.spec.ts</t>
        </is>
      </c>
      <c r="S14" s="31" t="inlineStr">
        <is>
          <t xml:space="preserve">Skipped</t>
        </is>
      </c>
      <c r="T14" s="32" t="inlineStr">
        <is>
          <t xml:space="preserve">Skipped: PENDING_AGENT_USER / PENDING_AGENT_PASS not configured (Open Item 16).</t>
        </is>
      </c>
      <c r="U14" s="31" t="inlineStr">
        <is>
          <t>N</t>
        </is>
      </c>
      <c r="V14" s="31" t="inlineStr">
        <is>
          <t>Negative</t>
        </is>
      </c>
      <c r="W14" s="32" t="inlineStr">
        <is>
          <t>-</t>
        </is>
      </c>
      <c r="X14" s="32" t="inlineStr">
        <is>
          <t>Creates its own application via fixture (independent; unique generated data).</t>
        </is>
      </c>
    </row>
    <row r="15" s="23">
      <c r="A15" s="31" t="inlineStr">
        <is>
          <t>TC-DASH-01</t>
        </is>
      </c>
      <c r="B15" s="32" t="inlineStr">
        <is>
          <t>Dashboard shows summaries and New Application CTA after login</t>
        </is>
      </c>
      <c r="C15" s="32" t="inlineStr">
        <is>
          <t>Dashboard</t>
        </is>
      </c>
      <c r="D15" s="31" t="inlineStr">
        <is>
          <t>UI</t>
        </is>
      </c>
      <c r="E15" s="32" t="inlineStr">
        <is>
          <t>DASH-V01</t>
        </is>
      </c>
      <c r="F15" s="32" t="inlineStr">
        <is>
          <t>QR-02</t>
        </is>
      </c>
      <c r="G15" s="32" t="inlineStr">
        <is>
          <t>Dashboard summary missing/incorrect</t>
        </is>
      </c>
      <c r="H15" s="32" t="inlineStr">
        <is>
          <t>Logged in as valid agent with seeded applications.</t>
        </is>
      </c>
      <c r="I15" s="32" t="inlineStr">
        <is>
          <t>1. Login as valid agent.
2. Observe dashboard.</t>
        </is>
      </c>
      <c r="J15" s="32" t="inlineStr">
        <is>
          <t>VALID_AGENT</t>
        </is>
      </c>
      <c r="K15" s="32" t="inlineStr">
        <is>
          <t>Draft summary, submitted summary and 'New application' CTA are visible.</t>
        </is>
      </c>
      <c r="L15" s="31" t="inlineStr">
        <is>
          <t>High</t>
        </is>
      </c>
      <c r="M15" s="31" t="inlineStr">
        <is>
          <t>P1</t>
        </is>
      </c>
      <c r="N15" s="31" t="n">
        <v>1</v>
      </c>
      <c r="O15" s="32" t="inlineStr">
        <is>
          <t>@smoke @regression dashboard</t>
        </is>
      </c>
      <c r="P15" s="32" t="inlineStr">
        <is>
          <t>Screenshot of dashboard</t>
        </is>
      </c>
      <c r="Q15" s="31" t="inlineStr">
        <is>
          <t xml:space="preserve">Automated</t>
        </is>
      </c>
      <c r="R15" s="32" t="inlineStr">
        <is>
          <t>tests/dashboard/dashboard.spec.ts</t>
        </is>
      </c>
      <c r="S15" s="31" t="inlineStr">
        <is>
          <t xml:space="preserve">Pass</t>
        </is>
      </c>
      <c r="T15" s="32" t="inlineStr">
        <is>
          <t xml:space="preserve">Run 23-Oct-2026 (chromium, --workers=1): Pass.</t>
        </is>
      </c>
      <c r="U15" s="31" t="inlineStr">
        <is>
          <t>Y</t>
        </is>
      </c>
      <c r="V15" s="31" t="inlineStr">
        <is>
          <t>Positive</t>
        </is>
      </c>
      <c r="W15" s="32" t="inlineStr">
        <is>
          <t>-</t>
        </is>
      </c>
      <c r="X15" s="32" t="inlineStr">
        <is>
          <t>Creates its own application via fixture (independent; unique generated data).</t>
        </is>
      </c>
    </row>
    <row r="16" s="23">
      <c r="A16" s="31" t="inlineStr">
        <is>
          <t>TC-DASH-02</t>
        </is>
      </c>
      <c r="B16" s="32" t="inlineStr">
        <is>
          <t>Agent sees only own applications (UI isolation)</t>
        </is>
      </c>
      <c r="C16" s="32" t="inlineStr">
        <is>
          <t>Dashboard</t>
        </is>
      </c>
      <c r="D16" s="31" t="inlineStr">
        <is>
          <t>UI</t>
        </is>
      </c>
      <c r="E16" s="32" t="inlineStr">
        <is>
          <t>DASH-V02</t>
        </is>
      </c>
      <c r="F16" s="32" t="inlineStr">
        <is>
          <t>QR-02</t>
        </is>
      </c>
      <c r="G16" s="32" t="inlineStr">
        <is>
          <t>Agent sees other agents' applications</t>
        </is>
      </c>
      <c r="H16" s="32" t="inlineStr">
        <is>
          <t>Two valid agents each with distinct seeded applications.</t>
        </is>
      </c>
      <c r="I16" s="32" t="inlineStr">
        <is>
          <t>1. Login as agent A; record application IDs.
2. Logout; login as agent B; record IDs.
3. Compare lists.</t>
        </is>
      </c>
      <c r="J16" s="32" t="inlineStr">
        <is>
          <t>VALID_AGENT, SECOND_AGENT</t>
        </is>
      </c>
      <c r="K16" s="32" t="inlineStr">
        <is>
          <t>The two ID sets do not overlap; neither agent sees the other's applications.</t>
        </is>
      </c>
      <c r="L16" s="31" t="inlineStr">
        <is>
          <t>Critical</t>
        </is>
      </c>
      <c r="M16" s="31" t="inlineStr">
        <is>
          <t>P1</t>
        </is>
      </c>
      <c r="N16" s="31" t="n">
        <v>2</v>
      </c>
      <c r="O16" s="32" t="inlineStr">
        <is>
          <t>@regression dashboard</t>
        </is>
      </c>
      <c r="P16" s="32" t="inlineStr">
        <is>
          <t>Screenshots of both lists</t>
        </is>
      </c>
      <c r="Q16" s="31" t="inlineStr">
        <is>
          <t xml:space="preserve">Automated</t>
        </is>
      </c>
      <c r="R16" s="32" t="inlineStr">
        <is>
          <t>tests/dashboard/dashboard.spec.ts</t>
        </is>
      </c>
      <c r="S16" s="31" t="inlineStr">
        <is>
          <t xml:space="preserve">Pass</t>
        </is>
      </c>
      <c r="T16" s="32" t="inlineStr">
        <is>
          <t xml:space="preserve">Run 23-Oct-2026 (chromium, --workers=1): Pass.</t>
        </is>
      </c>
      <c r="U16" s="31" t="inlineStr">
        <is>
          <t>Y</t>
        </is>
      </c>
      <c r="V16" s="31" t="inlineStr">
        <is>
          <t>Negative</t>
        </is>
      </c>
      <c r="W16" s="32" t="inlineStr">
        <is>
          <t>-</t>
        </is>
      </c>
      <c r="X16" s="32" t="inlineStr">
        <is>
          <t>Read-only seeded applications of two agents.</t>
        </is>
      </c>
    </row>
    <row r="17" s="23">
      <c r="A17" s="31" t="inlineStr">
        <is>
          <t>TC-DASH-03</t>
        </is>
      </c>
      <c r="B17" s="32" t="inlineStr">
        <is>
          <t>New agent sees empty-state message and CTA</t>
        </is>
      </c>
      <c r="C17" s="32" t="inlineStr">
        <is>
          <t>Dashboard</t>
        </is>
      </c>
      <c r="D17" s="31" t="inlineStr">
        <is>
          <t>UI</t>
        </is>
      </c>
      <c r="E17" s="32" t="inlineStr">
        <is>
          <t>DASH-V03</t>
        </is>
      </c>
      <c r="F17" s="32" t="inlineStr">
        <is>
          <t>QR-02</t>
        </is>
      </c>
      <c r="G17" s="32" t="inlineStr">
        <is>
          <t>Empty state not handled</t>
        </is>
      </c>
      <c r="H17" s="32" t="inlineStr">
        <is>
          <t>New agent with zero applications.</t>
        </is>
      </c>
      <c r="I17" s="32" t="inlineStr">
        <is>
          <t>1. Login as new agent.</t>
        </is>
      </c>
      <c r="J17" s="32" t="inlineStr">
        <is>
          <t>NEW_AGENT</t>
        </is>
      </c>
      <c r="K17" s="32" t="inlineStr">
        <is>
          <t>Empty-state copy shown; CTA to start a new application visible; no rows rendered.</t>
        </is>
      </c>
      <c r="L17" s="31" t="inlineStr">
        <is>
          <t>Low</t>
        </is>
      </c>
      <c r="M17" s="31" t="inlineStr">
        <is>
          <t>P3</t>
        </is>
      </c>
      <c r="N17" s="31" t="n">
        <v>3</v>
      </c>
      <c r="O17" s="32" t="inlineStr">
        <is>
          <t>@regression dashboard</t>
        </is>
      </c>
      <c r="P17" s="32" t="inlineStr">
        <is>
          <t>Screenshot of empty state</t>
        </is>
      </c>
      <c r="Q17" s="31" t="inlineStr">
        <is>
          <t xml:space="preserve">Automated</t>
        </is>
      </c>
      <c r="R17" s="32" t="inlineStr">
        <is>
          <t>tests/dashboard/dashboard.spec.ts</t>
        </is>
      </c>
      <c r="S17" s="31" t="inlineStr">
        <is>
          <t xml:space="preserve">Skipped</t>
        </is>
      </c>
      <c r="T17" s="32" t="inlineStr">
        <is>
          <t xml:space="preserve">APP GAP - automated, reported as fixme: login auto-creates a draft for every agent, so the empty state cannot occur. Requirement kept as designed.</t>
        </is>
      </c>
      <c r="U17" s="31" t="inlineStr">
        <is>
          <t>N</t>
        </is>
      </c>
      <c r="V17" s="31" t="inlineStr">
        <is>
          <t>Positive</t>
        </is>
      </c>
      <c r="W17" s="32" t="inlineStr">
        <is>
          <t>-</t>
        </is>
      </c>
      <c r="X17" s="32" t="inlineStr">
        <is>
          <t>Read-only: new agent has no applications.</t>
        </is>
      </c>
    </row>
    <row r="18" s="23">
      <c r="A18" s="31" t="inlineStr">
        <is>
          <t>TC-DASH-04</t>
        </is>
      </c>
      <c r="B18" s="32" t="inlineStr">
        <is>
          <t>Draft can be resumed with previously entered data</t>
        </is>
      </c>
      <c r="C18" s="32" t="inlineStr">
        <is>
          <t>Dashboard</t>
        </is>
      </c>
      <c r="D18" s="31" t="inlineStr">
        <is>
          <t>UI</t>
        </is>
      </c>
      <c r="E18" s="32" t="inlineStr">
        <is>
          <t>DASH-V04</t>
        </is>
      </c>
      <c r="F18" s="32" t="inlineStr">
        <is>
          <t>QR-02, QR-10</t>
        </is>
      </c>
      <c r="G18" s="32" t="inlineStr">
        <is>
          <t>Draft not resumable / not persisted</t>
        </is>
      </c>
      <c r="H18" s="32" t="inlineStr">
        <is>
          <t>Seeded draft application owned by valid agent (or created in test).</t>
        </is>
      </c>
      <c r="I18" s="32" t="inlineStr">
        <is>
          <t>1. From dashboard open the draft row.
2. Inspect the step and field values.</t>
        </is>
      </c>
      <c r="J18" s="32" t="inlineStr">
        <is>
          <t>Seeded draft id</t>
        </is>
      </c>
      <c r="K18" s="32" t="inlineStr">
        <is>
          <t>Application opens at the saved step; previously saved values are present and unchanged.</t>
        </is>
      </c>
      <c r="L18" s="31" t="inlineStr">
        <is>
          <t>High</t>
        </is>
      </c>
      <c r="M18" s="31" t="inlineStr">
        <is>
          <t>P1</t>
        </is>
      </c>
      <c r="N18" s="31" t="n">
        <v>2</v>
      </c>
      <c r="O18" s="32" t="inlineStr">
        <is>
          <t>@regression dashboard</t>
        </is>
      </c>
      <c r="P18" s="32" t="inlineStr">
        <is>
          <t>Screenshot of restored values</t>
        </is>
      </c>
      <c r="Q18" s="31" t="inlineStr">
        <is>
          <t xml:space="preserve">Automated</t>
        </is>
      </c>
      <c r="R18" s="32" t="inlineStr">
        <is>
          <t>tests/dashboard/dashboard.spec.ts</t>
        </is>
      </c>
      <c r="S18" s="31" t="inlineStr">
        <is>
          <t xml:space="preserve">Pass</t>
        </is>
      </c>
      <c r="T18" s="32" t="inlineStr">
        <is>
          <t xml:space="preserve">Run 23-Oct-2026 (chromium, --workers=1): Pass.</t>
        </is>
      </c>
      <c r="U18" s="31" t="inlineStr">
        <is>
          <t>N</t>
        </is>
      </c>
      <c r="V18" s="31" t="inlineStr">
        <is>
          <t>Positive</t>
        </is>
      </c>
      <c r="W18" s="32" t="inlineStr">
        <is>
          <t>API/DB: saved draft values</t>
        </is>
      </c>
      <c r="X18" s="32" t="inlineStr">
        <is>
          <t>Read-only seeded draft (or draft created by fixture).</t>
        </is>
      </c>
    </row>
    <row r="19" s="23">
      <c r="A19" s="31" t="inlineStr">
        <is>
          <t>TC-DASH-05</t>
        </is>
      </c>
      <c r="B19" s="32" t="inlineStr">
        <is>
          <t>Status filter returns correct rows (Draft/Submitted/Approved)</t>
        </is>
      </c>
      <c r="C19" s="32" t="inlineStr">
        <is>
          <t>Dashboard</t>
        </is>
      </c>
      <c r="D19" s="31" t="inlineStr">
        <is>
          <t>UI</t>
        </is>
      </c>
      <c r="E19" s="32" t="inlineStr">
        <is>
          <t>DASH-V05</t>
        </is>
      </c>
      <c r="F19" s="32" t="inlineStr">
        <is>
          <t>QR-02</t>
        </is>
      </c>
      <c r="G19" s="32" t="inlineStr">
        <is>
          <t>Filters return wrong rows</t>
        </is>
      </c>
      <c r="H19" s="32" t="inlineStr">
        <is>
          <t>Seeded draft, submitted and approved applications.</t>
        </is>
      </c>
      <c r="I19" s="32" t="inlineStr">
        <is>
          <t>1. Apply Draft filter; read rows.
2. Apply Submitted filter.
3. Apply Approved filter.</t>
        </is>
      </c>
      <c r="J19" s="32" t="inlineStr">
        <is>
          <t>Seeded applications of each status</t>
        </is>
      </c>
      <c r="K19" s="32" t="inlineStr">
        <is>
          <t>Each filter shows only rows of that status; counts match seed data.</t>
        </is>
      </c>
      <c r="L19" s="31" t="inlineStr">
        <is>
          <t>Medium</t>
        </is>
      </c>
      <c r="M19" s="31" t="inlineStr">
        <is>
          <t>P2</t>
        </is>
      </c>
      <c r="N19" s="31" t="n">
        <v>2</v>
      </c>
      <c r="O19" s="32" t="inlineStr">
        <is>
          <t>@regression dashboard</t>
        </is>
      </c>
      <c r="P19" s="32" t="inlineStr">
        <is>
          <t>Screenshot per filter</t>
        </is>
      </c>
      <c r="Q19" s="31" t="inlineStr">
        <is>
          <t xml:space="preserve">Automated</t>
        </is>
      </c>
      <c r="R19" s="32" t="inlineStr">
        <is>
          <t>tests/dashboard/dashboard.spec.ts</t>
        </is>
      </c>
      <c r="S19" s="31" t="inlineStr">
        <is>
          <t xml:space="preserve">Pass</t>
        </is>
      </c>
      <c r="T19" s="32" t="inlineStr">
        <is>
          <t xml:space="preserve">Run 23-Oct-2026 (chromium, --workers=1): Pass.</t>
        </is>
      </c>
      <c r="U19" s="31" t="inlineStr">
        <is>
          <t>N</t>
        </is>
      </c>
      <c r="V19" s="31" t="inlineStr">
        <is>
          <t>Positive</t>
        </is>
      </c>
      <c r="W19" s="32" t="inlineStr">
        <is>
          <t>-</t>
        </is>
      </c>
      <c r="X19" s="32" t="inlineStr">
        <is>
          <t>Read-only seeded applications of each status.</t>
        </is>
      </c>
    </row>
    <row r="20" s="23">
      <c r="A20" s="31" t="inlineStr">
        <is>
          <t>TC-DASH-06</t>
        </is>
      </c>
      <c r="B20" s="32" t="inlineStr">
        <is>
          <t>Dashboard status matches status API for each application (status endpoint)</t>
        </is>
      </c>
      <c r="C20" s="32" t="inlineStr">
        <is>
          <t>Dashboard</t>
        </is>
      </c>
      <c r="D20" s="31" t="inlineStr">
        <is>
          <t>UI</t>
        </is>
      </c>
      <c r="E20" s="32" t="inlineStr">
        <is>
          <t>DASH-V06</t>
        </is>
      </c>
      <c r="F20" s="32" t="inlineStr">
        <is>
          <t>QR-02, QR-09</t>
        </is>
      </c>
      <c r="G20" s="32" t="inlineStr">
        <is>
          <t>Dashboard status differs from backend</t>
        </is>
      </c>
      <c r="H20" s="32" t="inlineStr">
        <is>
          <t>Valid agent logged in; session available to request context.</t>
        </is>
      </c>
      <c r="I20" s="32" t="inlineStr">
        <is>
          <t>1. Read each dashboard row id + status.
2. Call GET /api/applications/{id}/status for each.
3. Compare.</t>
        </is>
      </c>
      <c r="J20" s="32" t="inlineStr">
        <is>
          <t>Seeded applications</t>
        </is>
      </c>
      <c r="K20" s="32" t="inlineStr">
        <is>
          <t>Every UI status equals API status.</t>
        </is>
      </c>
      <c r="L20" s="31" t="inlineStr">
        <is>
          <t>High</t>
        </is>
      </c>
      <c r="M20" s="31" t="inlineStr">
        <is>
          <t>P1</t>
        </is>
      </c>
      <c r="N20" s="31" t="n">
        <v>2</v>
      </c>
      <c r="O20" s="32" t="inlineStr">
        <is>
          <t>@regression dashboard @api</t>
        </is>
      </c>
      <c r="P20" s="32" t="inlineStr">
        <is>
          <t>Table of UI vs API values in test log</t>
        </is>
      </c>
      <c r="Q20" s="31" t="inlineStr">
        <is>
          <t xml:space="preserve">Automated</t>
        </is>
      </c>
      <c r="R20" s="32" t="inlineStr">
        <is>
          <t>tests/dashboard/dashboard-api.spec.ts</t>
        </is>
      </c>
      <c r="S20" s="31" t="inlineStr">
        <is>
          <t xml:space="preserve">Skipped</t>
        </is>
      </c>
      <c r="T20" s="32" t="inlineStr">
        <is>
          <t xml:space="preserve">Skipped: needs the status API; the lab app has no REST API (/api/* returns 404).</t>
        </is>
      </c>
      <c r="U20" s="31" t="inlineStr">
        <is>
          <t>N</t>
        </is>
      </c>
      <c r="V20" s="31" t="inlineStr">
        <is>
          <t>Positive</t>
        </is>
      </c>
      <c r="W20" s="32" t="inlineStr">
        <is>
          <t>API: GET /api/applications/{id}/status</t>
        </is>
      </c>
      <c r="X20" s="32" t="inlineStr">
        <is>
          <t>Creates its own application via fixture (independent; unique generated data).</t>
        </is>
      </c>
    </row>
    <row r="21" s="23">
      <c r="A21" s="31" t="inlineStr">
        <is>
          <t>TC-DASH-07</t>
        </is>
      </c>
      <c r="B21" s="32" t="inlineStr">
        <is>
          <t>Dashboard search finds an application by name/reference</t>
        </is>
      </c>
      <c r="C21" s="32" t="inlineStr">
        <is>
          <t>Dashboard</t>
        </is>
      </c>
      <c r="D21" s="31" t="inlineStr">
        <is>
          <t>UI</t>
        </is>
      </c>
      <c r="E21" s="32" t="inlineStr">
        <is>
          <t>Spec: dashboard search</t>
        </is>
      </c>
      <c r="F21" s="32" t="inlineStr">
        <is>
          <t>QR-02</t>
        </is>
      </c>
      <c r="G21" s="32" t="inlineStr">
        <is>
          <t>Search returns wrong rows</t>
        </is>
      </c>
      <c r="H21" s="32" t="inlineStr">
        <is>
          <t>Seeded applications with distinct client names/references.</t>
        </is>
      </c>
      <c r="I21" s="32" t="inlineStr">
        <is>
          <t>1. Search by a known client name.
2. Search by a known reference/ID.
3. Search for a non-existent term.
4. Clear search.</t>
        </is>
      </c>
      <c r="J21" s="32" t="inlineStr">
        <is>
          <t>Seeded names/references</t>
        </is>
      </c>
      <c r="K21" s="32" t="inlineStr">
        <is>
          <t>Matching rows only for 1 and 2; empty-result message for 3; full list restored after 4.</t>
        </is>
      </c>
      <c r="L21" s="31" t="inlineStr">
        <is>
          <t>Medium</t>
        </is>
      </c>
      <c r="M21" s="31" t="inlineStr">
        <is>
          <t>P2</t>
        </is>
      </c>
      <c r="N21" s="31" t="n">
        <v>3</v>
      </c>
      <c r="O21" s="32" t="inlineStr">
        <is>
          <t>@regression dashboard</t>
        </is>
      </c>
      <c r="P21" s="32" t="inlineStr">
        <is>
          <t>Screenshots of each result state</t>
        </is>
      </c>
      <c r="Q21" s="31" t="inlineStr">
        <is>
          <t xml:space="preserve">Automated</t>
        </is>
      </c>
      <c r="R21" s="32" t="inlineStr">
        <is>
          <t>tests/dashboard/dashboard.spec.ts</t>
        </is>
      </c>
      <c r="S21" s="31" t="inlineStr">
        <is>
          <t xml:space="preserve">Pass</t>
        </is>
      </c>
      <c r="T21" s="32" t="inlineStr">
        <is>
          <t xml:space="preserve">Run 23-Oct-2026 (chromium, --workers=1): Pass.</t>
        </is>
      </c>
      <c r="U21" s="31" t="inlineStr">
        <is>
          <t>N</t>
        </is>
      </c>
      <c r="V21" s="31" t="inlineStr">
        <is>
          <t>Positive</t>
        </is>
      </c>
      <c r="W21" s="32" t="inlineStr">
        <is>
          <t>-</t>
        </is>
      </c>
      <c r="X21" s="32" t="inlineStr">
        <is>
          <t>Creates its own application via fixture (independent; unique generated data).</t>
        </is>
      </c>
    </row>
    <row r="22" s="23">
      <c r="A22" s="31" t="inlineStr">
        <is>
          <t>TC-DASH-08</t>
        </is>
      </c>
      <c r="B22" s="32" t="inlineStr">
        <is>
          <t>Agent cannot open another agent's application by direct URL</t>
        </is>
      </c>
      <c r="C22" s="32" t="inlineStr">
        <is>
          <t>Dashboard</t>
        </is>
      </c>
      <c r="D22" s="31" t="inlineStr">
        <is>
          <t>UI</t>
        </is>
      </c>
      <c r="E22" s="32" t="inlineStr">
        <is>
          <t>Risk QR-02 (isolation)</t>
        </is>
      </c>
      <c r="F22" s="32" t="inlineStr">
        <is>
          <t>QR-02, QR-01</t>
        </is>
      </c>
      <c r="G22" s="32" t="inlineStr">
        <is>
          <t>Agent sees other agents' applications</t>
        </is>
      </c>
      <c r="H22" s="32" t="inlineStr">
        <is>
          <t>Application id owned by agent A; agent B logged in.</t>
        </is>
      </c>
      <c r="I22" s="32" t="inlineStr">
        <is>
          <t>1. As agent B open /applications/&lt;A's id&gt;.
2. Open /applications/&lt;A's id&gt;/review and /status.</t>
        </is>
      </c>
      <c r="J22" s="32" t="inlineStr">
        <is>
          <t>SECOND_AGENT + VALID_AGENT application id</t>
        </is>
      </c>
      <c r="K22" s="32" t="inlineStr">
        <is>
          <t>Access denied (403/404 page or redirect); no data of agent A is rendered on any of the three routes.</t>
        </is>
      </c>
      <c r="L22" s="31" t="inlineStr">
        <is>
          <t>Critical</t>
        </is>
      </c>
      <c r="M22" s="31" t="inlineStr">
        <is>
          <t>P1</t>
        </is>
      </c>
      <c r="N22" s="31" t="n">
        <v>2</v>
      </c>
      <c r="O22" s="32" t="inlineStr">
        <is>
          <t>@regression dashboard auth</t>
        </is>
      </c>
      <c r="P22" s="32" t="inlineStr">
        <is>
          <t>Screenshots + network status codes</t>
        </is>
      </c>
      <c r="Q22" s="31" t="inlineStr">
        <is>
          <t xml:space="preserve">Automated</t>
        </is>
      </c>
      <c r="R22" s="32" t="inlineStr">
        <is>
          <t>tests/dashboard/isolation.spec.ts</t>
        </is>
      </c>
      <c r="S22" s="31" t="inlineStr">
        <is>
          <t xml:space="preserve">Pass</t>
        </is>
      </c>
      <c r="T22" s="32" t="inlineStr">
        <is>
          <t xml:space="preserve">Run 23-Oct-2026 (chromium, --workers=1): Pass.</t>
        </is>
      </c>
      <c r="U22" s="31" t="inlineStr">
        <is>
          <t>Y</t>
        </is>
      </c>
      <c r="V22" s="31" t="inlineStr">
        <is>
          <t>Negative</t>
        </is>
      </c>
      <c r="W22" s="32" t="inlineStr">
        <is>
          <t>API: GET /api/applications/{otherId} returns 403/404</t>
        </is>
      </c>
      <c r="X22" s="32" t="inlineStr">
        <is>
          <t>Creates its own application via fixture (independent; unique generated data).</t>
        </is>
      </c>
    </row>
    <row r="23" s="23">
      <c r="A23" s="31" t="inlineStr">
        <is>
          <t>TC-DASH-09</t>
        </is>
      </c>
      <c r="B23" s="32" t="inlineStr">
        <is>
          <t>Profile and Support pages load for a logged-in agent and are protected when logged out</t>
        </is>
      </c>
      <c r="C23" s="32" t="inlineStr">
        <is>
          <t>Dashboard</t>
        </is>
      </c>
      <c r="D23" s="31" t="inlineStr">
        <is>
          <t>UI</t>
        </is>
      </c>
      <c r="E23" s="32" t="inlineStr">
        <is>
          <t>Routes /profile, /support</t>
        </is>
      </c>
      <c r="F23" s="32" t="inlineStr">
        <is>
          <t>QR-01</t>
        </is>
      </c>
      <c r="G23" s="32" t="inlineStr">
        <is>
          <t>Support/profile route unprotected or broken</t>
        </is>
      </c>
      <c r="H23" s="32" t="inlineStr">
        <is>
          <t>Valid agent; fresh context for the logged-out part.</t>
        </is>
      </c>
      <c r="I23" s="32" t="inlineStr">
        <is>
          <t>1. Login; open /profile and /support.
2. In a fresh context open both URLs.</t>
        </is>
      </c>
      <c r="J23" s="32" t="inlineStr">
        <is>
          <t>VALID_AGENT</t>
        </is>
      </c>
      <c r="K23" s="32" t="inlineStr">
        <is>
          <t>Both pages render for the logged-in agent; logged-out access redirects to /login.</t>
        </is>
      </c>
      <c r="L23" s="31" t="inlineStr">
        <is>
          <t>Low</t>
        </is>
      </c>
      <c r="M23" s="31" t="inlineStr">
        <is>
          <t>P3</t>
        </is>
      </c>
      <c r="N23" s="31" t="n">
        <v>3</v>
      </c>
      <c r="O23" s="32" t="inlineStr">
        <is>
          <t>@regression dashboard auth</t>
        </is>
      </c>
      <c r="P23" s="32" t="inlineStr">
        <is>
          <t>Screenshots</t>
        </is>
      </c>
      <c r="Q23" s="31" t="inlineStr">
        <is>
          <t xml:space="preserve">Automated</t>
        </is>
      </c>
      <c r="R23" s="32" t="inlineStr">
        <is>
          <t>tests/dashboard/dashboard.spec.ts</t>
        </is>
      </c>
      <c r="S23" s="31" t="inlineStr">
        <is>
          <t xml:space="preserve">Pass</t>
        </is>
      </c>
      <c r="T23" s="32" t="inlineStr">
        <is>
          <t xml:space="preserve">Run 23-Oct-2026 (chromium, --workers=1): Pass.</t>
        </is>
      </c>
      <c r="U23" s="31" t="inlineStr">
        <is>
          <t>N</t>
        </is>
      </c>
      <c r="V23" s="31" t="inlineStr">
        <is>
          <t>Positive</t>
        </is>
      </c>
      <c r="W23" s="32" t="inlineStr">
        <is>
          <t>-</t>
        </is>
      </c>
      <c r="X23" s="32" t="inlineStr">
        <is>
          <t>Creates its own application via fixture (independent; unique generated data).</t>
        </is>
      </c>
    </row>
    <row r="24" s="23">
      <c r="A24" s="31" t="inlineStr">
        <is>
          <t>TC-CLI-01</t>
        </is>
      </c>
      <c r="B24" s="32" t="inlineStr">
        <is>
          <t>Valid insured personal information is saved and Next is enabled</t>
        </is>
      </c>
      <c r="C24" s="32" t="inlineStr">
        <is>
          <t>Client Information</t>
        </is>
      </c>
      <c r="D24" s="31" t="inlineStr">
        <is>
          <t>UI</t>
        </is>
      </c>
      <c r="E24" s="32" t="inlineStr">
        <is>
          <t>CLI-V01</t>
        </is>
      </c>
      <c r="F24" s="32" t="inlineStr">
        <is>
          <t>QR-03, QR-10</t>
        </is>
      </c>
      <c r="G24" s="32" t="inlineStr">
        <is>
          <t>Valid data blocks progression</t>
        </is>
      </c>
      <c r="H24" s="32" t="inlineStr">
        <is>
          <t>Logged in; new application started.</t>
        </is>
      </c>
      <c r="I24" s="32" t="inlineStr">
        <is>
          <t>1. Fill all mandatory client fields with valid data.
2. Click Save/Next.
3. Return to the step.</t>
        </is>
      </c>
      <c r="J24" s="32" t="inlineStr">
        <is>
          <t>Generated client (age 40)</t>
        </is>
      </c>
      <c r="K24" s="32" t="inlineStr">
        <is>
          <t>Next step becomes enabled; saved values persist when step is revisited.</t>
        </is>
      </c>
      <c r="L24" s="31" t="inlineStr">
        <is>
          <t>High</t>
        </is>
      </c>
      <c r="M24" s="31" t="inlineStr">
        <is>
          <t>P1</t>
        </is>
      </c>
      <c r="N24" s="31" t="n">
        <v>1</v>
      </c>
      <c r="O24" s="32" t="inlineStr">
        <is>
          <t>@smoke @regression client</t>
        </is>
      </c>
      <c r="P24" s="32" t="inlineStr">
        <is>
          <t>Screenshot of filled form + revisit</t>
        </is>
      </c>
      <c r="Q24" s="31" t="inlineStr">
        <is>
          <t xml:space="preserve">Automated</t>
        </is>
      </c>
      <c r="R24" s="32" t="inlineStr">
        <is>
          <t>tests/client-information/client.spec.ts</t>
        </is>
      </c>
      <c r="S24" s="31" t="inlineStr">
        <is>
          <t xml:space="preserve">Pass</t>
        </is>
      </c>
      <c r="T24" s="32" t="inlineStr">
        <is>
          <t xml:space="preserve">Run 23-Oct-2026 (chromium, --workers=1): Pass.</t>
        </is>
      </c>
      <c r="U24" s="31" t="inlineStr">
        <is>
          <t>Y</t>
        </is>
      </c>
      <c r="V24" s="31" t="inlineStr">
        <is>
          <t>Positive</t>
        </is>
      </c>
      <c r="W24" s="32" t="inlineStr">
        <is>
          <t>API: GET client returns saved values</t>
        </is>
      </c>
      <c r="X24" s="32" t="inlineStr">
        <is>
          <t>Creates its own application via fixture (independent; unique generated data).</t>
        </is>
      </c>
    </row>
    <row r="25" s="23">
      <c r="A25" s="31" t="inlineStr">
        <is>
          <t>TC-CLI-02</t>
        </is>
      </c>
      <c r="B25" s="32" t="inlineStr">
        <is>
          <t>Mandatory personal fields show inline errors</t>
        </is>
      </c>
      <c r="C25" s="32" t="inlineStr">
        <is>
          <t>Client Information</t>
        </is>
      </c>
      <c r="D25" s="31" t="inlineStr">
        <is>
          <t>UI</t>
        </is>
      </c>
      <c r="E25" s="32" t="inlineStr">
        <is>
          <t>CLI-V02</t>
        </is>
      </c>
      <c r="F25" s="32" t="inlineStr">
        <is>
          <t>QR-03</t>
        </is>
      </c>
      <c r="G25" s="32" t="inlineStr">
        <is>
          <t>Mandatory fields skipped</t>
        </is>
      </c>
      <c r="H25" s="32" t="inlineStr">
        <is>
          <t>On Client step with empty form.</t>
        </is>
      </c>
      <c r="I25" s="32" t="inlineStr">
        <is>
          <t xml:space="preserve">1. Leave first name, last name, DOB, occupation and employer blank.
2. Click Save and Continue.</t>
        </is>
      </c>
      <c r="J25" s="32" t="inlineStr">
        <is>
          <t xml:space="preserve">Empty form (gender and marital status dropdowns have no blank option; nationality defaults to "United States")</t>
        </is>
      </c>
      <c r="K25" s="32" t="inlineStr">
        <is>
          <t xml:space="preserve">Each blank required field is flagged; progression is blocked.
Also verify: nothing is saved (reload shows empty values).</t>
        </is>
      </c>
      <c r="L25" s="31" t="inlineStr">
        <is>
          <t>High</t>
        </is>
      </c>
      <c r="M25" s="31" t="inlineStr">
        <is>
          <t>P1</t>
        </is>
      </c>
      <c r="N25" s="31" t="n">
        <v>2</v>
      </c>
      <c r="O25" s="32" t="inlineStr">
        <is>
          <t>@regression client</t>
        </is>
      </c>
      <c r="P25" s="32" t="inlineStr">
        <is>
          <t>Screenshot of errors</t>
        </is>
      </c>
      <c r="Q25" s="31" t="inlineStr">
        <is>
          <t xml:space="preserve">Automated</t>
        </is>
      </c>
      <c r="R25" s="32" t="inlineStr">
        <is>
          <t>tests/client-information/client.spec.ts</t>
        </is>
      </c>
      <c r="S25" s="31" t="inlineStr">
        <is>
          <t xml:space="preserve">Pass</t>
        </is>
      </c>
      <c r="T25" s="32" t="inlineStr">
        <is>
          <t xml:space="preserve">Run 23-Oct-2026 (chromium, --workers=1): Pass. Steps/expected result updated to match the app: Gender, marital status and nationality always hold a value, so they cannot be left blank.</t>
        </is>
      </c>
      <c r="U25" s="31" t="inlineStr">
        <is>
          <t>N</t>
        </is>
      </c>
      <c r="V25" s="31" t="inlineStr">
        <is>
          <t>Negative</t>
        </is>
      </c>
      <c r="W25" s="32" t="inlineStr">
        <is>
          <t>-</t>
        </is>
      </c>
      <c r="X25" s="32" t="inlineStr">
        <is>
          <t>Creates its own application via fixture (independent; unique generated data).</t>
        </is>
      </c>
    </row>
    <row r="26" s="23">
      <c r="A26" s="31" t="inlineStr">
        <is>
          <t>TC-CLI-03</t>
        </is>
      </c>
      <c r="B26" s="32" t="inlineStr">
        <is>
          <t>DOB making client under 18 is rejected</t>
        </is>
      </c>
      <c r="C26" s="32" t="inlineStr">
        <is>
          <t>Client Information</t>
        </is>
      </c>
      <c r="D26" s="31" t="inlineStr">
        <is>
          <t>UI</t>
        </is>
      </c>
      <c r="E26" s="32" t="inlineStr">
        <is>
          <t>CLI-V03</t>
        </is>
      </c>
      <c r="F26" s="32" t="inlineStr">
        <is>
          <t>QR-03</t>
        </is>
      </c>
      <c r="G26" s="32" t="inlineStr">
        <is>
          <t xml:space="preserve">DEF-CLI-003 - Age boundary off by one</t>
        </is>
      </c>
      <c r="H26" s="32" t="inlineStr">
        <is>
          <t>On Client step.</t>
        </is>
      </c>
      <c r="I26" s="32" t="inlineStr">
        <is>
          <t xml:space="preserve">1. Complete the Client step with DOB = today minus 18 years plus 1 day (17y 364d).
2. Open /review.</t>
        </is>
      </c>
      <c r="J26" s="32" t="inlineStr">
        <is>
          <t>DOB 17y364d</t>
        </is>
      </c>
      <c r="K26" s="32" t="inlineStr">
        <is>
          <t xml:space="preserve">Review validation summary shows "Client must be at least 18 years old" and the application cannot be submitted. (The Client step accepts the DOB; the 18-65 rule is applied in submission validation.)</t>
        </is>
      </c>
      <c r="L26" s="31" t="inlineStr">
        <is>
          <t>Critical</t>
        </is>
      </c>
      <c r="M26" s="31" t="inlineStr">
        <is>
          <t>P1</t>
        </is>
      </c>
      <c r="N26" s="31" t="n">
        <v>2</v>
      </c>
      <c r="O26" s="32" t="inlineStr">
        <is>
          <t>@regression client</t>
        </is>
      </c>
      <c r="P26" s="32" t="inlineStr">
        <is>
          <t>Screenshot of error</t>
        </is>
      </c>
      <c r="Q26" s="31" t="inlineStr">
        <is>
          <t xml:space="preserve">Automated</t>
        </is>
      </c>
      <c r="R26" s="32" t="inlineStr">
        <is>
          <t>tests/client-information/dob.spec.ts</t>
        </is>
      </c>
      <c r="S26" s="31" t="inlineStr">
        <is>
          <t xml:space="preserve">Fail</t>
        </is>
      </c>
      <c r="T26" s="32" t="inlineStr">
        <is>
          <t xml:space="preserve">FAIL BY DESIGN - seeded defect DEF-CLI-003 (Age boundary off by one): a 17y364d client is calculated as 18, so no under-18 error appears on Review. Run 23-Oct-2026 (chromium, --workers=1). Steps/expected result updated: the age is shown and checked on Review.</t>
        </is>
      </c>
      <c r="U26" s="31" t="inlineStr">
        <is>
          <t>Y</t>
        </is>
      </c>
      <c r="V26" s="31" t="inlineStr">
        <is>
          <t>Boundary</t>
        </is>
      </c>
      <c r="W26" s="32" t="inlineStr">
        <is>
          <t>API: POST client rejects the same DOB (see TC-API-15)</t>
        </is>
      </c>
      <c r="X26" s="32" t="inlineStr">
        <is>
          <t>Creates its own application via fixture (independent; unique generated data).</t>
        </is>
      </c>
    </row>
    <row r="27" s="23">
      <c r="A27" s="31" t="inlineStr">
        <is>
          <t>TC-CLI-04</t>
        </is>
      </c>
      <c r="B27" s="32" t="inlineStr">
        <is>
          <t>DOB making client over 65 is rejected</t>
        </is>
      </c>
      <c r="C27" s="32" t="inlineStr">
        <is>
          <t>Client Information</t>
        </is>
      </c>
      <c r="D27" s="31" t="inlineStr">
        <is>
          <t>UI</t>
        </is>
      </c>
      <c r="E27" s="32" t="inlineStr">
        <is>
          <t>CLI-V04</t>
        </is>
      </c>
      <c r="F27" s="32" t="inlineStr">
        <is>
          <t>QR-03</t>
        </is>
      </c>
      <c r="G27" s="32" t="inlineStr">
        <is>
          <t>Age eligibility rule missed</t>
        </is>
      </c>
      <c r="H27" s="32" t="inlineStr">
        <is>
          <t>On Client step.</t>
        </is>
      </c>
      <c r="I27" s="32" t="inlineStr">
        <is>
          <t xml:space="preserve">1. Complete the Client step with DOB = 65 years and 1 day ago.
2. Open /review.</t>
        </is>
      </c>
      <c r="J27" s="32" t="inlineStr">
        <is>
          <t xml:space="preserve">DOB 65y+1d (65 is inclusive - confirmed in ApplicationValidationService)</t>
        </is>
      </c>
      <c r="K27" s="32" t="inlineStr">
        <is>
          <t xml:space="preserve">Review validation summary shows "Client must not be older than 65 years". (The Client step accepts the DOB; the 18-65 rule is applied in submission validation.)</t>
        </is>
      </c>
      <c r="L27" s="31" t="inlineStr">
        <is>
          <t>Critical</t>
        </is>
      </c>
      <c r="M27" s="31" t="inlineStr">
        <is>
          <t>P1</t>
        </is>
      </c>
      <c r="N27" s="31" t="n">
        <v>2</v>
      </c>
      <c r="O27" s="32" t="inlineStr">
        <is>
          <t>@regression client</t>
        </is>
      </c>
      <c r="P27" s="32" t="inlineStr">
        <is>
          <t>Screenshot of error</t>
        </is>
      </c>
      <c r="Q27" s="31" t="inlineStr">
        <is>
          <t xml:space="preserve">Automated</t>
        </is>
      </c>
      <c r="R27" s="32" t="inlineStr">
        <is>
          <t>tests/client-information/dob.spec.ts</t>
        </is>
      </c>
      <c r="S27" s="31" t="inlineStr">
        <is>
          <t xml:space="preserve">Pass</t>
        </is>
      </c>
      <c r="T27" s="32" t="inlineStr">
        <is>
          <t xml:space="preserve">Run 23-Oct-2026 (chromium, --workers=1): Pass. Steps/expected result updated to match the app: The age rule is checked on Review, not on the Client step.</t>
        </is>
      </c>
      <c r="U27" s="31" t="inlineStr">
        <is>
          <t>Y</t>
        </is>
      </c>
      <c r="V27" s="31" t="inlineStr">
        <is>
          <t>Boundary</t>
        </is>
      </c>
      <c r="W27" s="32" t="inlineStr">
        <is>
          <t>-</t>
        </is>
      </c>
      <c r="X27" s="32" t="inlineStr">
        <is>
          <t>Creates its own application via fixture (independent; unique generated data).</t>
        </is>
      </c>
    </row>
    <row r="28" s="23">
      <c r="A28" s="31" t="inlineStr">
        <is>
          <t>TC-CLI-05</t>
        </is>
      </c>
      <c r="B28" s="32" t="inlineStr">
        <is>
          <t>Future DOB is rejected</t>
        </is>
      </c>
      <c r="C28" s="32" t="inlineStr">
        <is>
          <t>Client Information</t>
        </is>
      </c>
      <c r="D28" s="31" t="inlineStr">
        <is>
          <t>UI</t>
        </is>
      </c>
      <c r="E28" s="32" t="inlineStr">
        <is>
          <t>CLI-V05</t>
        </is>
      </c>
      <c r="F28" s="32" t="inlineStr">
        <is>
          <t>QR-03</t>
        </is>
      </c>
      <c r="G28" s="32" t="inlineStr">
        <is>
          <t>Future DOB accepted</t>
        </is>
      </c>
      <c r="H28" s="32" t="inlineStr">
        <is>
          <t>On Client step.</t>
        </is>
      </c>
      <c r="I28" s="32" t="inlineStr">
        <is>
          <t>1. Enter DOB = tomorrow.
2. Attempt to proceed.</t>
        </is>
      </c>
      <c r="J28" s="32" t="inlineStr">
        <is>
          <t>DOB tomorrow</t>
        </is>
      </c>
      <c r="K28" s="32" t="inlineStr">
        <is>
          <t>Validation error shown; progression blocked.
Also verify: the rejected value is not saved (reload or GET shows the previous/empty value).</t>
        </is>
      </c>
      <c r="L28" s="31" t="inlineStr">
        <is>
          <t>Critical</t>
        </is>
      </c>
      <c r="M28" s="31" t="inlineStr">
        <is>
          <t>P1</t>
        </is>
      </c>
      <c r="N28" s="31" t="n">
        <v>1</v>
      </c>
      <c r="O28" s="32" t="inlineStr">
        <is>
          <t>@smoke @regression client</t>
        </is>
      </c>
      <c r="P28" s="32" t="inlineStr">
        <is>
          <t>Screenshot of error</t>
        </is>
      </c>
      <c r="Q28" s="31" t="inlineStr">
        <is>
          <t xml:space="preserve">Automated</t>
        </is>
      </c>
      <c r="R28" s="32" t="inlineStr">
        <is>
          <t>tests/client-information/dob.spec.ts</t>
        </is>
      </c>
      <c r="S28" s="31" t="inlineStr">
        <is>
          <t xml:space="preserve">Pass</t>
        </is>
      </c>
      <c r="T28" s="32" t="inlineStr">
        <is>
          <t xml:space="preserve">Run 23-Oct-2026 (chromium, --workers=1): Pass.</t>
        </is>
      </c>
      <c r="U28" s="31" t="inlineStr">
        <is>
          <t>Y</t>
        </is>
      </c>
      <c r="V28" s="31" t="inlineStr">
        <is>
          <t>Boundary</t>
        </is>
      </c>
      <c r="W28" s="32" t="inlineStr">
        <is>
          <t>API: POST client rejects future DOB</t>
        </is>
      </c>
      <c r="X28" s="32" t="inlineStr">
        <is>
          <t>Creates its own application via fixture (independent; unique generated data).</t>
        </is>
      </c>
    </row>
    <row r="29" s="23">
      <c r="A29" s="31" t="inlineStr">
        <is>
          <t>TC-CLI-06</t>
        </is>
      </c>
      <c r="B29" s="32" t="inlineStr">
        <is>
          <t>Boundary ages 18 and 65 are accepted (inclusive boundary)</t>
        </is>
      </c>
      <c r="C29" s="32" t="inlineStr">
        <is>
          <t>Client Information</t>
        </is>
      </c>
      <c r="D29" s="31" t="inlineStr">
        <is>
          <t>UI</t>
        </is>
      </c>
      <c r="E29" s="32" t="inlineStr">
        <is>
          <t>Guideline: DOB rules (BVA)</t>
        </is>
      </c>
      <c r="F29" s="32" t="inlineStr">
        <is>
          <t>QR-03</t>
        </is>
      </c>
      <c r="G29" s="32" t="inlineStr">
        <is>
          <t>Boundary off-by-one</t>
        </is>
      </c>
      <c r="H29" s="32" t="inlineStr">
        <is>
          <t>On Client step. Inclusivity of 18 and 65 confirmed (see Open Items).</t>
        </is>
      </c>
      <c r="I29" s="32" t="inlineStr">
        <is>
          <t>1. Enter DOB exactly 18 years ago; proceed.
2. Repeat with DOB exactly 65 years ago.</t>
        </is>
      </c>
      <c r="J29" s="32" t="inlineStr">
        <is>
          <t>DOB 18y0d and 65y0d</t>
        </is>
      </c>
      <c r="K29" s="32" t="inlineStr">
        <is>
          <t>Both DOBs accepted and progression allowed (adjust if spec says 65 exclusive).
Also verify: the rejected value is not saved (reload or GET shows the previous/empty value).</t>
        </is>
      </c>
      <c r="L29" s="31" t="inlineStr">
        <is>
          <t>High</t>
        </is>
      </c>
      <c r="M29" s="31" t="inlineStr">
        <is>
          <t>P2</t>
        </is>
      </c>
      <c r="N29" s="31" t="n">
        <v>3</v>
      </c>
      <c r="O29" s="32" t="inlineStr">
        <is>
          <t>@regression client</t>
        </is>
      </c>
      <c r="P29" s="32" t="inlineStr">
        <is>
          <t>Screenshots for both boundaries</t>
        </is>
      </c>
      <c r="Q29" s="31" t="inlineStr">
        <is>
          <t xml:space="preserve">Automated</t>
        </is>
      </c>
      <c r="R29" s="32" t="inlineStr">
        <is>
          <t>tests/client-information/dob.spec.ts</t>
        </is>
      </c>
      <c r="S29" s="31" t="inlineStr">
        <is>
          <t xml:space="preserve">Pass</t>
        </is>
      </c>
      <c r="T29" s="32" t="inlineStr">
        <is>
          <t xml:space="preserve">Run 23-Oct-2026 (chromium, --workers=1): Pass.</t>
        </is>
      </c>
      <c r="U29" s="31" t="inlineStr">
        <is>
          <t>N</t>
        </is>
      </c>
      <c r="V29" s="31" t="inlineStr">
        <is>
          <t>Boundary</t>
        </is>
      </c>
      <c r="W29" s="32" t="inlineStr">
        <is>
          <t>-</t>
        </is>
      </c>
      <c r="X29" s="32" t="inlineStr">
        <is>
          <t>Creates its own application via fixture (independent; unique generated data).</t>
        </is>
      </c>
    </row>
    <row r="30" s="23">
      <c r="A30" s="31" t="inlineStr">
        <is>
          <t>TC-CLI-07</t>
        </is>
      </c>
      <c r="B30" s="32" t="inlineStr">
        <is>
          <t>Calculated age is displayed correctly from DOB</t>
        </is>
      </c>
      <c r="C30" s="32" t="inlineStr">
        <is>
          <t>Client Information</t>
        </is>
      </c>
      <c r="D30" s="31" t="inlineStr">
        <is>
          <t>UI</t>
        </is>
      </c>
      <c r="E30" s="32" t="inlineStr">
        <is>
          <t>Guideline: age visibility</t>
        </is>
      </c>
      <c r="F30" s="32" t="inlineStr">
        <is>
          <t>QR-03</t>
        </is>
      </c>
      <c r="G30" s="32" t="inlineStr">
        <is>
          <t xml:space="preserve">DEF-CLI-003 - Age boundary off by one</t>
        </is>
      </c>
      <c r="H30" s="32" t="inlineStr">
        <is>
          <t>On Client step.</t>
        </is>
      </c>
      <c r="I30" s="32" t="inlineStr">
        <is>
          <t xml:space="preserve">1. Complete the Client step with a DOB giving a known age (birthday today, and birthday tomorrow).
2. Open /review and read "Calculated Age".</t>
        </is>
      </c>
      <c r="J30" s="32" t="inlineStr">
        <is>
          <t>DOB 40y and 39y364d</t>
        </is>
      </c>
      <c r="K30" s="32" t="inlineStr">
        <is>
          <t xml:space="preserve">Calculated Age on Review equals the expected age for each DOB (40 and 39).</t>
        </is>
      </c>
      <c r="L30" s="31" t="inlineStr">
        <is>
          <t>High</t>
        </is>
      </c>
      <c r="M30" s="31" t="inlineStr">
        <is>
          <t>P2</t>
        </is>
      </c>
      <c r="N30" s="31" t="n">
        <v>2</v>
      </c>
      <c r="O30" s="32" t="inlineStr">
        <is>
          <t>@regression client</t>
        </is>
      </c>
      <c r="P30" s="32" t="inlineStr">
        <is>
          <t>Screenshot of age field</t>
        </is>
      </c>
      <c r="Q30" s="31" t="inlineStr">
        <is>
          <t xml:space="preserve">Automated</t>
        </is>
      </c>
      <c r="R30" s="32" t="inlineStr">
        <is>
          <t>tests/client-information/dob.spec.ts</t>
        </is>
      </c>
      <c r="S30" s="31" t="inlineStr">
        <is>
          <t xml:space="preserve">Fail</t>
        </is>
      </c>
      <c r="T30" s="32" t="inlineStr">
        <is>
          <t xml:space="preserve">FAIL BY DESIGN - seeded defect DEF-CLI-003 (Age boundary off by one): DOB 1986-10-23 (birthday today) shows Calculated Age 41, expected 40. Run 23-Oct-2026 (chromium, --workers=1). Steps/expected result updated: the age is shown and checked on Review.</t>
        </is>
      </c>
      <c r="U30" s="31" t="inlineStr">
        <is>
          <t>N</t>
        </is>
      </c>
      <c r="V30" s="31" t="inlineStr">
        <is>
          <t>Positive</t>
        </is>
      </c>
      <c r="W30" s="32" t="inlineStr">
        <is>
          <t>-</t>
        </is>
      </c>
      <c r="X30" s="32" t="inlineStr">
        <is>
          <t>Creates its own application via fixture (independent; unique generated data).</t>
        </is>
      </c>
    </row>
    <row r="31" s="23">
      <c r="A31" s="31" t="inlineStr">
        <is>
          <t>TC-CLI-08</t>
        </is>
      </c>
      <c r="B31" s="32" t="inlineStr">
        <is>
          <t>Invalid name formats are rejected</t>
        </is>
      </c>
      <c r="C31" s="32" t="inlineStr">
        <is>
          <t>Client Information</t>
        </is>
      </c>
      <c r="D31" s="31" t="inlineStr">
        <is>
          <t>UI</t>
        </is>
      </c>
      <c r="E31" s="32" t="inlineStr">
        <is>
          <t>Guideline: name validation</t>
        </is>
      </c>
      <c r="F31" s="32" t="inlineStr">
        <is>
          <t>QR-03</t>
        </is>
      </c>
      <c r="G31" s="32" t="inlineStr">
        <is>
          <t xml:space="preserve">DEF-CLI-004 - Invalid name characters allowed</t>
        </is>
      </c>
      <c r="H31" s="32" t="inlineStr">
        <is>
          <t>On Client step.</t>
        </is>
      </c>
      <c r="I31" s="32" t="inlineStr">
        <is>
          <t>1. Enter names with digits/symbols (e.g. 'J0hn#', '123', single space).
2. Attempt to proceed.</t>
        </is>
      </c>
      <c r="J31" s="32" t="inlineStr">
        <is>
          <t>'J0hn#', '12345', '   '</t>
        </is>
      </c>
      <c r="K31" s="32" t="inlineStr">
        <is>
          <t>Name validation error shown for each invalid value; valid name 'Anita Rao' accepted.
Also verify: the rejected value is not saved (reload or GET shows the previous/empty value).</t>
        </is>
      </c>
      <c r="L31" s="31" t="inlineStr">
        <is>
          <t>Medium</t>
        </is>
      </c>
      <c r="M31" s="31" t="inlineStr">
        <is>
          <t>P2</t>
        </is>
      </c>
      <c r="N31" s="31" t="n">
        <v>3</v>
      </c>
      <c r="O31" s="32" t="inlineStr">
        <is>
          <t>@regression client</t>
        </is>
      </c>
      <c r="P31" s="32" t="inlineStr">
        <is>
          <t>Screenshot per invalid value</t>
        </is>
      </c>
      <c r="Q31" s="31" t="inlineStr">
        <is>
          <t xml:space="preserve">Automated</t>
        </is>
      </c>
      <c r="R31" s="32" t="inlineStr">
        <is>
          <t>tests/client-information/client.spec.ts</t>
        </is>
      </c>
      <c r="S31" s="31" t="inlineStr">
        <is>
          <t xml:space="preserve">Fail</t>
        </is>
      </c>
      <c r="T31" s="32" t="inlineStr">
        <is>
          <t xml:space="preserve">FAIL BY DESIGN - seeded defect DEF-CLI-004 (Invalid name characters allowed): names with digits/symbols are accepted. Run 23-Oct-2026 (chromium, --workers=1).</t>
        </is>
      </c>
      <c r="U31" s="31" t="inlineStr">
        <is>
          <t>N</t>
        </is>
      </c>
      <c r="V31" s="31" t="inlineStr">
        <is>
          <t>Negative</t>
        </is>
      </c>
      <c r="W31" s="32" t="inlineStr">
        <is>
          <t>-</t>
        </is>
      </c>
      <c r="X31" s="32" t="inlineStr">
        <is>
          <t>Creates its own application via fixture (independent; unique generated data).</t>
        </is>
      </c>
    </row>
    <row r="32" s="23">
      <c r="A32" s="31" t="inlineStr">
        <is>
          <t>TC-CLI-09</t>
        </is>
      </c>
      <c r="B32" s="32" t="inlineStr">
        <is>
          <t>Impossible or malformed DOB values are rejected</t>
        </is>
      </c>
      <c r="C32" s="32" t="inlineStr">
        <is>
          <t>Client Information</t>
        </is>
      </c>
      <c r="D32" s="31" t="inlineStr">
        <is>
          <t>UI</t>
        </is>
      </c>
      <c r="E32" s="32" t="inlineStr">
        <is>
          <t>Guideline: date of birth rules</t>
        </is>
      </c>
      <c r="F32" s="32" t="inlineStr">
        <is>
          <t>QR-03</t>
        </is>
      </c>
      <c r="G32" s="32" t="inlineStr">
        <is>
          <t>Invalid DOB accepted</t>
        </is>
      </c>
      <c r="H32" s="32" t="inlineStr">
        <is>
          <t>On Client step.</t>
        </is>
      </c>
      <c r="I32" s="32" t="inlineStr">
        <is>
          <t>1. Enter 31-Feb, 00/00/0000, text 'abc', and a year before 1900.
2. Attempt to proceed.</t>
        </is>
      </c>
      <c r="J32" s="32" t="inlineStr">
        <is>
          <t>'31-02-1990', '00-00-0000', 'abc', '01-01-1850'</t>
        </is>
      </c>
      <c r="K32" s="32" t="inlineStr">
        <is>
          <t>Each value is rejected with a date-format/range error; no age is calculated or displayed.
Also verify: the rejected value is not saved (reload or GET shows the previous/empty value).</t>
        </is>
      </c>
      <c r="L32" s="31" t="inlineStr">
        <is>
          <t>Medium</t>
        </is>
      </c>
      <c r="M32" s="31" t="inlineStr">
        <is>
          <t>P2</t>
        </is>
      </c>
      <c r="N32" s="31" t="n">
        <v>3</v>
      </c>
      <c r="O32" s="32" t="inlineStr">
        <is>
          <t>@regression client</t>
        </is>
      </c>
      <c r="P32" s="32" t="inlineStr">
        <is>
          <t>Screenshot per value</t>
        </is>
      </c>
      <c r="Q32" s="31" t="inlineStr">
        <is>
          <t xml:space="preserve">Automated</t>
        </is>
      </c>
      <c r="R32" s="32" t="inlineStr">
        <is>
          <t>tests/client-information/dob.spec.ts</t>
        </is>
      </c>
      <c r="S32" s="31" t="inlineStr">
        <is>
          <t xml:space="preserve">Skipped</t>
        </is>
      </c>
      <c r="T32" s="32" t="inlineStr">
        <is>
          <t xml:space="preserve">APP GAP - automated, reported as fixme: malformed / pre-1900 DOB values are accepted. Requirement kept as designed.</t>
        </is>
      </c>
      <c r="U32" s="31" t="inlineStr">
        <is>
          <t>N</t>
        </is>
      </c>
      <c r="V32" s="31" t="inlineStr">
        <is>
          <t>Boundary</t>
        </is>
      </c>
      <c r="W32" s="32" t="inlineStr">
        <is>
          <t>-</t>
        </is>
      </c>
      <c r="X32" s="32" t="inlineStr">
        <is>
          <t>Creates its own application via fixture (independent; unique generated data).</t>
        </is>
      </c>
    </row>
    <row r="33" s="23">
      <c r="A33" s="31" t="inlineStr">
        <is>
          <t>TC-ADDR-01</t>
        </is>
      </c>
      <c r="B33" s="32" t="inlineStr">
        <is>
          <t>Same-as-residential copies address to mailing</t>
        </is>
      </c>
      <c r="C33" s="32" t="inlineStr">
        <is>
          <t>Address &amp; Contact</t>
        </is>
      </c>
      <c r="D33" s="31" t="inlineStr">
        <is>
          <t>UI</t>
        </is>
      </c>
      <c r="E33" s="32" t="inlineStr">
        <is>
          <t>CLI-V06</t>
        </is>
      </c>
      <c r="F33" s="32" t="inlineStr">
        <is>
          <t>QR-03</t>
        </is>
      </c>
      <c r="G33" s="32" t="inlineStr">
        <is>
          <t>Same-as-residential not copied</t>
        </is>
      </c>
      <c r="H33" s="32" t="inlineStr">
        <is>
          <t>On Address &amp; Contact step.</t>
        </is>
      </c>
      <c r="I33" s="32" t="inlineStr">
        <is>
          <t>1. Fill residential address.
2. Tick 'same as residential'.
3. Compare mailing fields.
4. Save and reopen.</t>
        </is>
      </c>
      <c r="J33" s="32" t="inlineStr">
        <is>
          <t>Generated address</t>
        </is>
      </c>
      <c r="K33" s="32" t="inlineStr">
        <is>
          <t>All mailing fields equal residential values; values persist after reopening.</t>
        </is>
      </c>
      <c r="L33" s="31" t="inlineStr">
        <is>
          <t>Medium</t>
        </is>
      </c>
      <c r="M33" s="31" t="inlineStr">
        <is>
          <t>P1</t>
        </is>
      </c>
      <c r="N33" s="31" t="n">
        <v>1</v>
      </c>
      <c r="O33" s="32" t="inlineStr">
        <is>
          <t>@smoke @regression address</t>
        </is>
      </c>
      <c r="P33" s="32" t="inlineStr">
        <is>
          <t>Screenshot of copied fields</t>
        </is>
      </c>
      <c r="Q33" s="31" t="inlineStr">
        <is>
          <t xml:space="preserve">Automated</t>
        </is>
      </c>
      <c r="R33" s="32" t="inlineStr">
        <is>
          <t>tests/client-information/address.spec.ts</t>
        </is>
      </c>
      <c r="S33" s="31" t="inlineStr">
        <is>
          <t xml:space="preserve">Pass</t>
        </is>
      </c>
      <c r="T33" s="32" t="inlineStr">
        <is>
          <t xml:space="preserve">Run 23-Oct-2026 (chromium, --workers=1): Pass.</t>
        </is>
      </c>
      <c r="U33" s="31" t="inlineStr">
        <is>
          <t>Y</t>
        </is>
      </c>
      <c r="V33" s="31" t="inlineStr">
        <is>
          <t>Positive</t>
        </is>
      </c>
      <c r="W33" s="32" t="inlineStr">
        <is>
          <t>-</t>
        </is>
      </c>
      <c r="X33" s="32" t="inlineStr">
        <is>
          <t>Creates its own application via fixture (independent; unique generated data).</t>
        </is>
      </c>
    </row>
    <row r="34" s="23">
      <c r="A34" s="31" t="inlineStr">
        <is>
          <t>TC-ADDR-02</t>
        </is>
      </c>
      <c r="B34" s="32" t="inlineStr">
        <is>
          <t>Unticking same-as-residential makes mailing editable and independent</t>
        </is>
      </c>
      <c r="C34" s="32" t="inlineStr">
        <is>
          <t>Address &amp; Contact</t>
        </is>
      </c>
      <c r="D34" s="31" t="inlineStr">
        <is>
          <t>UI</t>
        </is>
      </c>
      <c r="E34" s="32" t="inlineStr">
        <is>
          <t>Guideline: same-as-residential</t>
        </is>
      </c>
      <c r="F34" s="32" t="inlineStr">
        <is>
          <t>QR-03</t>
        </is>
      </c>
      <c r="G34" s="32" t="inlineStr">
        <is>
          <t>Mailing locked/overwritten</t>
        </is>
      </c>
      <c r="H34" s="32" t="inlineStr">
        <is>
          <t>Same-as-residential ticked.</t>
        </is>
      </c>
      <c r="I34" s="32" t="inlineStr">
        <is>
          <t>1. Untick the checkbox.
2. Edit a mailing field.
3. Edit a residential field.</t>
        </is>
      </c>
      <c r="J34" s="32" t="inlineStr">
        <is>
          <t>Generated address</t>
        </is>
      </c>
      <c r="K34" s="32" t="inlineStr">
        <is>
          <t>Mailing fields become editable; editing residential no longer overwrites edited mailing values.</t>
        </is>
      </c>
      <c r="L34" s="31" t="inlineStr">
        <is>
          <t>Low</t>
        </is>
      </c>
      <c r="M34" s="31" t="inlineStr">
        <is>
          <t>P3</t>
        </is>
      </c>
      <c r="N34" s="31" t="n">
        <v>3</v>
      </c>
      <c r="O34" s="32" t="inlineStr">
        <is>
          <t>@regression address</t>
        </is>
      </c>
      <c r="P34" s="32" t="inlineStr">
        <is>
          <t>Screenshot</t>
        </is>
      </c>
      <c r="Q34" s="31" t="inlineStr">
        <is>
          <t xml:space="preserve">Automated</t>
        </is>
      </c>
      <c r="R34" s="32" t="inlineStr">
        <is>
          <t>tests/client-information/address.spec.ts</t>
        </is>
      </c>
      <c r="S34" s="31" t="inlineStr">
        <is>
          <t xml:space="preserve">Pass</t>
        </is>
      </c>
      <c r="T34" s="32" t="inlineStr">
        <is>
          <t xml:space="preserve">Run 23-Oct-2026 (chromium, --workers=1): Pass.</t>
        </is>
      </c>
      <c r="U34" s="31" t="inlineStr">
        <is>
          <t>N</t>
        </is>
      </c>
      <c r="V34" s="31" t="inlineStr">
        <is>
          <t>Positive</t>
        </is>
      </c>
      <c r="W34" s="32" t="inlineStr">
        <is>
          <t>-</t>
        </is>
      </c>
      <c r="X34" s="32" t="inlineStr">
        <is>
          <t>Creates its own application via fixture (independent; unique generated data).</t>
        </is>
      </c>
    </row>
    <row r="35" s="23">
      <c r="A35" s="31" t="inlineStr">
        <is>
          <t>TC-ADDR-03</t>
        </is>
      </c>
      <c r="B35" s="32" t="inlineStr">
        <is>
          <t>Invalid ZIP/postal code is rejected</t>
        </is>
      </c>
      <c r="C35" s="32" t="inlineStr">
        <is>
          <t>Address &amp; Contact</t>
        </is>
      </c>
      <c r="D35" s="31" t="inlineStr">
        <is>
          <t>UI</t>
        </is>
      </c>
      <c r="E35" s="32" t="inlineStr">
        <is>
          <t>Guideline: ZIP validation</t>
        </is>
      </c>
      <c r="F35" s="32" t="inlineStr">
        <is>
          <t>QR-03</t>
        </is>
      </c>
      <c r="G35" s="32" t="inlineStr">
        <is>
          <t>ZIP validation gaps</t>
        </is>
      </c>
      <c r="H35" s="32" t="inlineStr">
        <is>
          <t>On Address step.</t>
        </is>
      </c>
      <c r="I35" s="32" t="inlineStr">
        <is>
          <t>1. Enter invalid ZIP values.
2. Attempt to proceed.</t>
        </is>
      </c>
      <c r="J35" s="32" t="inlineStr">
        <is>
          <t>'ABCDE', '123', '1234567', blank</t>
        </is>
      </c>
      <c r="K35" s="32" t="inlineStr">
        <is>
          <t>Error shown per invalid ZIP; valid ZIP for the chosen state accepted.
Also verify: the rejected value is not saved (reload or GET shows the previous/empty value).</t>
        </is>
      </c>
      <c r="L35" s="31" t="inlineStr">
        <is>
          <t>Medium</t>
        </is>
      </c>
      <c r="M35" s="31" t="inlineStr">
        <is>
          <t>P2</t>
        </is>
      </c>
      <c r="N35" s="31" t="n">
        <v>2</v>
      </c>
      <c r="O35" s="32" t="inlineStr">
        <is>
          <t>@regression address</t>
        </is>
      </c>
      <c r="P35" s="32" t="inlineStr">
        <is>
          <t>Screenshot per value</t>
        </is>
      </c>
      <c r="Q35" s="31" t="inlineStr">
        <is>
          <t xml:space="preserve">Automated</t>
        </is>
      </c>
      <c r="R35" s="32" t="inlineStr">
        <is>
          <t>tests/client-information/address.spec.ts</t>
        </is>
      </c>
      <c r="S35" s="31" t="inlineStr">
        <is>
          <t xml:space="preserve">Pass</t>
        </is>
      </c>
      <c r="T35" s="32" t="inlineStr">
        <is>
          <t xml:space="preserve">Run 23-Oct-2026 (chromium, --workers=1): Pass.</t>
        </is>
      </c>
      <c r="U35" s="31" t="inlineStr">
        <is>
          <t>N</t>
        </is>
      </c>
      <c r="V35" s="31" t="inlineStr">
        <is>
          <t>Negative</t>
        </is>
      </c>
      <c r="W35" s="32" t="inlineStr">
        <is>
          <t>-</t>
        </is>
      </c>
      <c r="X35" s="32" t="inlineStr">
        <is>
          <t>Creates its own application via fixture (independent; unique generated data).</t>
        </is>
      </c>
    </row>
    <row r="36" s="23">
      <c r="A36" s="31" t="inlineStr">
        <is>
          <t>TC-ADDR-04</t>
        </is>
      </c>
      <c r="B36" s="32" t="inlineStr">
        <is>
          <t>State is mandatory and ZIP/state mismatch is flagged</t>
        </is>
      </c>
      <c r="C36" s="32" t="inlineStr">
        <is>
          <t>Address &amp; Contact</t>
        </is>
      </c>
      <c r="D36" s="31" t="inlineStr">
        <is>
          <t>UI</t>
        </is>
      </c>
      <c r="E36" s="32" t="inlineStr">
        <is>
          <t>Guideline: state validation</t>
        </is>
      </c>
      <c r="F36" s="32" t="inlineStr">
        <is>
          <t>QR-03</t>
        </is>
      </c>
      <c r="G36" s="32" t="inlineStr">
        <is>
          <t>State validation gaps</t>
        </is>
      </c>
      <c r="H36" s="32" t="inlineStr">
        <is>
          <t>On Address step.</t>
        </is>
      </c>
      <c r="I36" s="32" t="inlineStr">
        <is>
          <t>1. Leave state unselected; proceed.
2. Select a state and a ZIP belonging to another state (if app validates).</t>
        </is>
      </c>
      <c r="J36" s="32" t="inlineStr">
        <is>
          <t>State/ZIP pairs (CONFIRM rule)</t>
        </is>
      </c>
      <c r="K36" s="32" t="inlineStr">
        <is>
          <t>Missing state blocks progression; mismatch behavior matches confirmed rule.
Also verify: the rejected value is not saved (reload or GET shows the previous/empty value).</t>
        </is>
      </c>
      <c r="L36" s="31" t="inlineStr">
        <is>
          <t>Medium</t>
        </is>
      </c>
      <c r="M36" s="31" t="inlineStr">
        <is>
          <t>P3</t>
        </is>
      </c>
      <c r="N36" s="31" t="n">
        <v>3</v>
      </c>
      <c r="O36" s="32" t="inlineStr">
        <is>
          <t>@regression address</t>
        </is>
      </c>
      <c r="P36" s="32" t="inlineStr">
        <is>
          <t>Screenshot</t>
        </is>
      </c>
      <c r="Q36" s="31" t="inlineStr">
        <is>
          <t xml:space="preserve">Automated</t>
        </is>
      </c>
      <c r="R36" s="32" t="inlineStr">
        <is>
          <t>tests/client-information/address.spec.ts</t>
        </is>
      </c>
      <c r="S36" s="31" t="inlineStr">
        <is>
          <t xml:space="preserve">Pass</t>
        </is>
      </c>
      <c r="T36" s="32" t="inlineStr">
        <is>
          <t xml:space="preserve">Run 23-Oct-2026 (chromium, --workers=1): Pass.</t>
        </is>
      </c>
      <c r="U36" s="31" t="inlineStr">
        <is>
          <t>N</t>
        </is>
      </c>
      <c r="V36" s="31" t="inlineStr">
        <is>
          <t>Negative</t>
        </is>
      </c>
      <c r="W36" s="32" t="inlineStr">
        <is>
          <t>-</t>
        </is>
      </c>
      <c r="X36" s="32" t="inlineStr">
        <is>
          <t>Creates its own application via fixture (independent; unique generated data).</t>
        </is>
      </c>
    </row>
    <row r="37" s="23">
      <c r="A37" s="31" t="inlineStr">
        <is>
          <t>TC-ADDR-05</t>
        </is>
      </c>
      <c r="B37" s="32" t="inlineStr">
        <is>
          <t>Invalid email format is rejected</t>
        </is>
      </c>
      <c r="C37" s="32" t="inlineStr">
        <is>
          <t>Address &amp; Contact</t>
        </is>
      </c>
      <c r="D37" s="31" t="inlineStr">
        <is>
          <t>UI</t>
        </is>
      </c>
      <c r="E37" s="32" t="inlineStr">
        <is>
          <t>CLI-V07</t>
        </is>
      </c>
      <c r="F37" s="32" t="inlineStr">
        <is>
          <t>QR-03</t>
        </is>
      </c>
      <c r="G37" s="32" t="inlineStr">
        <is>
          <t>Email validation gap</t>
        </is>
      </c>
      <c r="H37" s="32" t="inlineStr">
        <is>
          <t>On Contact section.</t>
        </is>
      </c>
      <c r="I37" s="32" t="inlineStr">
        <is>
          <t>1. Enter invalid emails.
2. Attempt to proceed.</t>
        </is>
      </c>
      <c r="J37" s="32" t="inlineStr">
        <is>
          <t>'abc', 'a@b', 'a@@b.com', 'a b@c.com'</t>
        </is>
      </c>
      <c r="K37" s="32" t="inlineStr">
        <is>
          <t>Inline email error per value; valid email accepted.
Also verify: the rejected value is not saved (reload or GET shows the previous/empty value).</t>
        </is>
      </c>
      <c r="L37" s="31" t="inlineStr">
        <is>
          <t>Medium</t>
        </is>
      </c>
      <c r="M37" s="31" t="inlineStr">
        <is>
          <t>P2</t>
        </is>
      </c>
      <c r="N37" s="31" t="n">
        <v>2</v>
      </c>
      <c r="O37" s="32" t="inlineStr">
        <is>
          <t>@regression address</t>
        </is>
      </c>
      <c r="P37" s="32" t="inlineStr">
        <is>
          <t>Screenshot per value</t>
        </is>
      </c>
      <c r="Q37" s="31" t="inlineStr">
        <is>
          <t xml:space="preserve">Automated</t>
        </is>
      </c>
      <c r="R37" s="32" t="inlineStr">
        <is>
          <t>tests/client-information/contact.spec.ts</t>
        </is>
      </c>
      <c r="S37" s="31" t="inlineStr">
        <is>
          <t xml:space="preserve">Skipped</t>
        </is>
      </c>
      <c r="T37" s="32" t="inlineStr">
        <is>
          <t xml:space="preserve">APP GAP - automated, reported as fixme: email validation accepts addresses such as "a@b". Requirement kept as designed.</t>
        </is>
      </c>
      <c r="U37" s="31" t="inlineStr">
        <is>
          <t>N</t>
        </is>
      </c>
      <c r="V37" s="31" t="inlineStr">
        <is>
          <t>Negative</t>
        </is>
      </c>
      <c r="W37" s="32" t="inlineStr">
        <is>
          <t>-</t>
        </is>
      </c>
      <c r="X37" s="32" t="inlineStr">
        <is>
          <t>Creates its own application via fixture (independent; unique generated data).</t>
        </is>
      </c>
    </row>
    <row r="38" s="23">
      <c r="A38" s="31" t="inlineStr">
        <is>
          <t>TC-ADDR-06</t>
        </is>
      </c>
      <c r="B38" s="32" t="inlineStr">
        <is>
          <t>Invalid phone number is rejected</t>
        </is>
      </c>
      <c r="C38" s="32" t="inlineStr">
        <is>
          <t>Address &amp; Contact</t>
        </is>
      </c>
      <c r="D38" s="31" t="inlineStr">
        <is>
          <t>UI</t>
        </is>
      </c>
      <c r="E38" s="32" t="inlineStr">
        <is>
          <t>CLI-V07</t>
        </is>
      </c>
      <c r="F38" s="32" t="inlineStr">
        <is>
          <t>QR-03</t>
        </is>
      </c>
      <c r="G38" s="32" t="inlineStr">
        <is>
          <t>Phone validation gap</t>
        </is>
      </c>
      <c r="H38" s="32" t="inlineStr">
        <is>
          <t>On Contact section.</t>
        </is>
      </c>
      <c r="I38" s="32" t="inlineStr">
        <is>
          <t>1. Enter invalid mobile/alternate numbers.
2. Attempt to proceed.</t>
        </is>
      </c>
      <c r="J38" s="32" t="inlineStr">
        <is>
          <t>'12345', 'abcdefghij', '+', 11-digit value (CONFIRM format)</t>
        </is>
      </c>
      <c r="K38" s="32" t="inlineStr">
        <is>
          <t>Inline phone error per value; valid number accepted.
Also verify: the rejected value is not saved (reload or GET shows the previous/empty value).</t>
        </is>
      </c>
      <c r="L38" s="31" t="inlineStr">
        <is>
          <t>Medium</t>
        </is>
      </c>
      <c r="M38" s="31" t="inlineStr">
        <is>
          <t>P2</t>
        </is>
      </c>
      <c r="N38" s="31" t="n">
        <v>2</v>
      </c>
      <c r="O38" s="32" t="inlineStr">
        <is>
          <t>@regression address</t>
        </is>
      </c>
      <c r="P38" s="32" t="inlineStr">
        <is>
          <t>Screenshot per value</t>
        </is>
      </c>
      <c r="Q38" s="31" t="inlineStr">
        <is>
          <t xml:space="preserve">Automated</t>
        </is>
      </c>
      <c r="R38" s="32" t="inlineStr">
        <is>
          <t>tests/client-information/contact.spec.ts</t>
        </is>
      </c>
      <c r="S38" s="31" t="inlineStr">
        <is>
          <t xml:space="preserve">Pass</t>
        </is>
      </c>
      <c r="T38" s="32" t="inlineStr">
        <is>
          <t xml:space="preserve">Run 23-Oct-2026 (chromium, --workers=1): Pass.</t>
        </is>
      </c>
      <c r="U38" s="31" t="inlineStr">
        <is>
          <t>N</t>
        </is>
      </c>
      <c r="V38" s="31" t="inlineStr">
        <is>
          <t>Negative</t>
        </is>
      </c>
      <c r="W38" s="32" t="inlineStr">
        <is>
          <t>-</t>
        </is>
      </c>
      <c r="X38" s="32" t="inlineStr">
        <is>
          <t>Creates its own application via fixture (independent; unique generated data).</t>
        </is>
      </c>
    </row>
    <row r="39" s="23">
      <c r="A39" s="31" t="inlineStr">
        <is>
          <t>TC-ADDR-07</t>
        </is>
      </c>
      <c r="B39" s="32" t="inlineStr">
        <is>
          <t>At least one contact method / preferred mode is required</t>
        </is>
      </c>
      <c r="C39" s="32" t="inlineStr">
        <is>
          <t>Address &amp; Contact</t>
        </is>
      </c>
      <c r="D39" s="31" t="inlineStr">
        <is>
          <t>UI</t>
        </is>
      </c>
      <c r="E39" s="32" t="inlineStr">
        <is>
          <t>Guideline: mandatory contact method</t>
        </is>
      </c>
      <c r="F39" s="32" t="inlineStr">
        <is>
          <t>QR-03</t>
        </is>
      </c>
      <c r="G39" s="32" t="inlineStr">
        <is>
          <t>No contact method required</t>
        </is>
      </c>
      <c r="H39" s="32" t="inlineStr">
        <is>
          <t>On Contact section.</t>
        </is>
      </c>
      <c r="I39" s="32" t="inlineStr">
        <is>
          <t>1. Clear email, mobile and alternate phone.
2. Leave preferred communication mode empty.
3. Proceed.</t>
        </is>
      </c>
      <c r="J39" s="32" t="inlineStr">
        <is>
          <t>Empty contact data</t>
        </is>
      </c>
      <c r="K39" s="32" t="inlineStr">
        <is>
          <t>Validation requires a contact method / preferred mode; progression blocked.
Also verify: the rejected value is not saved (reload or GET shows the previous/empty value).</t>
        </is>
      </c>
      <c r="L39" s="31" t="inlineStr">
        <is>
          <t>Medium</t>
        </is>
      </c>
      <c r="M39" s="31" t="inlineStr">
        <is>
          <t>P2</t>
        </is>
      </c>
      <c r="N39" s="31" t="n">
        <v>3</v>
      </c>
      <c r="O39" s="32" t="inlineStr">
        <is>
          <t>@regression address</t>
        </is>
      </c>
      <c r="P39" s="32" t="inlineStr">
        <is>
          <t>Screenshot</t>
        </is>
      </c>
      <c r="Q39" s="31" t="inlineStr">
        <is>
          <t xml:space="preserve">Automated</t>
        </is>
      </c>
      <c r="R39" s="32" t="inlineStr">
        <is>
          <t>tests/client-information/contact.spec.ts</t>
        </is>
      </c>
      <c r="S39" s="31" t="inlineStr">
        <is>
          <t xml:space="preserve">Pass</t>
        </is>
      </c>
      <c r="T39" s="32" t="inlineStr">
        <is>
          <t xml:space="preserve">Run 23-Oct-2026 (chromium, --workers=1): Pass.</t>
        </is>
      </c>
      <c r="U39" s="31" t="inlineStr">
        <is>
          <t>N</t>
        </is>
      </c>
      <c r="V39" s="31" t="inlineStr">
        <is>
          <t>Negative</t>
        </is>
      </c>
      <c r="W39" s="32" t="inlineStr">
        <is>
          <t>-</t>
        </is>
      </c>
      <c r="X39" s="32" t="inlineStr">
        <is>
          <t>Creates its own application via fixture (independent; unique generated data).</t>
        </is>
      </c>
    </row>
    <row r="40" s="23">
      <c r="A40" s="31" t="inlineStr">
        <is>
          <t>TC-KYC-01</t>
        </is>
      </c>
      <c r="B40" s="32" t="inlineStr">
        <is>
          <t>SSN is masked after entry (only last four visible)</t>
        </is>
      </c>
      <c r="C40" s="32" t="inlineStr">
        <is>
          <t>KYC &amp; Financial</t>
        </is>
      </c>
      <c r="D40" s="31" t="inlineStr">
        <is>
          <t>UI</t>
        </is>
      </c>
      <c r="E40" s="32" t="inlineStr">
        <is>
          <t>CLI-V08</t>
        </is>
      </c>
      <c r="F40" s="32" t="inlineStr">
        <is>
          <t>QR-04</t>
        </is>
      </c>
      <c r="G40" s="32" t="inlineStr">
        <is>
          <t xml:space="preserve">DEF-CLI-002 - SSN masking not enforced</t>
        </is>
      </c>
      <c r="H40" s="32" t="inlineStr">
        <is>
          <t>On KYC step.</t>
        </is>
      </c>
      <c r="I40" s="32" t="inlineStr">
        <is>
          <t>1. Enter a synthetic SSN.
2. Tab away / save.
3. Reopen the step.</t>
        </is>
      </c>
      <c r="J40" s="32" t="inlineStr">
        <is>
          <t>Synthetic SSN 123-45-6789 (fake)</t>
        </is>
      </c>
      <c r="K40" s="32" t="inlineStr">
        <is>
          <t>Only last four digits visible after entry and on reopen; full value not displayed.</t>
        </is>
      </c>
      <c r="L40" s="31" t="inlineStr">
        <is>
          <t>Critical</t>
        </is>
      </c>
      <c r="M40" s="31" t="inlineStr">
        <is>
          <t>P1</t>
        </is>
      </c>
      <c r="N40" s="31" t="n">
        <v>2</v>
      </c>
      <c r="O40" s="32" t="inlineStr">
        <is>
          <t>@regression kyc</t>
        </is>
      </c>
      <c r="P40" s="32" t="inlineStr">
        <is>
          <t>Screenshot (use fake SSN only)</t>
        </is>
      </c>
      <c r="Q40" s="31" t="inlineStr">
        <is>
          <t xml:space="preserve">Automated</t>
        </is>
      </c>
      <c r="R40" s="32" t="inlineStr">
        <is>
          <t>tests/client-information/kyc.spec.ts</t>
        </is>
      </c>
      <c r="S40" s="31" t="inlineStr">
        <is>
          <t xml:space="preserve">Fail</t>
        </is>
      </c>
      <c r="T40" s="32" t="inlineStr">
        <is>
          <t xml:space="preserve">FAIL BY DESIGN - seeded defect DEF-CLI-002 (SSN masking not enforced): full SSN 123456789 stays visible. Run 23-Oct-2026 (chromium, --workers=1).</t>
        </is>
      </c>
      <c r="U40" s="31" t="inlineStr">
        <is>
          <t>Y</t>
        </is>
      </c>
      <c r="V40" s="31" t="inlineStr">
        <is>
          <t>Positive</t>
        </is>
      </c>
      <c r="W40" s="32" t="inlineStr">
        <is>
          <t>API/DB: stored SSN masked/encrypted (read-only)</t>
        </is>
      </c>
      <c r="X40" s="32" t="inlineStr">
        <is>
          <t>Creates its own application via fixture (independent; unique generated data).</t>
        </is>
      </c>
    </row>
    <row r="41" s="23">
      <c r="A41" s="31" t="inlineStr">
        <is>
          <t>TC-KYC-02</t>
        </is>
      </c>
      <c r="B41" s="32" t="inlineStr">
        <is>
          <t>ID number validated by ID type</t>
        </is>
      </c>
      <c r="C41" s="32" t="inlineStr">
        <is>
          <t>KYC &amp; Financial</t>
        </is>
      </c>
      <c r="D41" s="31" t="inlineStr">
        <is>
          <t>UI</t>
        </is>
      </c>
      <c r="E41" s="32" t="inlineStr">
        <is>
          <t>Risk QR-04</t>
        </is>
      </c>
      <c r="F41" s="32" t="inlineStr">
        <is>
          <t>QR-04</t>
        </is>
      </c>
      <c r="G41" s="32" t="inlineStr">
        <is>
          <t>ID format not validated by type</t>
        </is>
      </c>
      <c r="H41" s="32" t="inlineStr">
        <is>
          <t>On KYC step; ID types available (CONFIRM list).</t>
        </is>
      </c>
      <c r="I41" s="32" t="inlineStr">
        <is>
          <t>1. For each ID type enter a number in the wrong format.
2. Attempt to proceed.
3. Enter correct format.</t>
        </is>
      </c>
      <c r="J41" s="32" t="inlineStr">
        <is>
          <t>Wrong/right format per ID type</t>
        </is>
      </c>
      <c r="K41" s="32" t="inlineStr">
        <is>
          <t>Wrong formats rejected with type-specific error; correct formats accepted.
Also verify: the rejected value is not saved (reload or GET shows the previous/empty value).</t>
        </is>
      </c>
      <c r="L41" s="31" t="inlineStr">
        <is>
          <t>High</t>
        </is>
      </c>
      <c r="M41" s="31" t="inlineStr">
        <is>
          <t>P2</t>
        </is>
      </c>
      <c r="N41" s="31" t="n">
        <v>3</v>
      </c>
      <c r="O41" s="32" t="inlineStr">
        <is>
          <t>@regression kyc</t>
        </is>
      </c>
      <c r="P41" s="32" t="inlineStr">
        <is>
          <t>Screenshot per ID type</t>
        </is>
      </c>
      <c r="Q41" s="31" t="inlineStr">
        <is>
          <t xml:space="preserve">Automated</t>
        </is>
      </c>
      <c r="R41" s="32" t="inlineStr">
        <is>
          <t>tests/client-information/kyc.spec.ts</t>
        </is>
      </c>
      <c r="S41" s="31" t="inlineStr">
        <is>
          <t xml:space="preserve">Skipped</t>
        </is>
      </c>
      <c r="T41" s="32" t="inlineStr">
        <is>
          <t xml:space="preserve">APP GAP - automated, reported as fixme: server accepts any ID number string (no per-type format rule). Requirement kept as designed.</t>
        </is>
      </c>
      <c r="U41" s="31" t="inlineStr">
        <is>
          <t>N</t>
        </is>
      </c>
      <c r="V41" s="31" t="inlineStr">
        <is>
          <t>Negative</t>
        </is>
      </c>
      <c r="W41" s="32" t="inlineStr">
        <is>
          <t>-</t>
        </is>
      </c>
      <c r="X41" s="32" t="inlineStr">
        <is>
          <t>Creates its own application via fixture (independent; unique generated data).</t>
        </is>
      </c>
    </row>
    <row r="42" s="23">
      <c r="A42" s="31" t="inlineStr">
        <is>
          <t>TC-KYC-03</t>
        </is>
      </c>
      <c r="B42" s="32" t="inlineStr">
        <is>
          <t>KYC upload rejects unsupported file type</t>
        </is>
      </c>
      <c r="C42" s="32" t="inlineStr">
        <is>
          <t>KYC &amp; Financial</t>
        </is>
      </c>
      <c r="D42" s="31" t="inlineStr">
        <is>
          <t>UI</t>
        </is>
      </c>
      <c r="E42" s="32" t="inlineStr">
        <is>
          <t>CLI-V09</t>
        </is>
      </c>
      <c r="F42" s="32" t="inlineStr">
        <is>
          <t>QR-04, QR-08</t>
        </is>
      </c>
      <c r="G42" s="32" t="inlineStr">
        <is>
          <t>Bad file types accepted</t>
        </is>
      </c>
      <c r="H42" s="32" t="inlineStr">
        <is>
          <t>On KYC document upload control.</t>
        </is>
      </c>
      <c r="I42" s="32" t="inlineStr">
        <is>
          <t>1. Upload sample.exe.
2. Upload sample.txt.</t>
        </is>
      </c>
      <c r="J42" s="32" t="inlineStr">
        <is>
          <t>invalid-type files from fixtures/files</t>
        </is>
      </c>
      <c r="K42" s="32" t="inlineStr">
        <is>
          <t>Both uploads rejected with unsupported-type message; no document listed as uploaded.
Also verify: the rejected value is not saved (reload or GET shows the previous/empty value).</t>
        </is>
      </c>
      <c r="L42" s="31" t="inlineStr">
        <is>
          <t>High</t>
        </is>
      </c>
      <c r="M42" s="31" t="inlineStr">
        <is>
          <t>P1</t>
        </is>
      </c>
      <c r="N42" s="31" t="n">
        <v>2</v>
      </c>
      <c r="O42" s="32" t="inlineStr">
        <is>
          <t>@regression kyc</t>
        </is>
      </c>
      <c r="P42" s="32" t="inlineStr">
        <is>
          <t>Screenshot of error</t>
        </is>
      </c>
      <c r="Q42" s="31" t="inlineStr">
        <is>
          <t xml:space="preserve">Automated</t>
        </is>
      </c>
      <c r="R42" s="32" t="inlineStr">
        <is>
          <t>tests/client-information/kyc.spec.ts</t>
        </is>
      </c>
      <c r="S42" s="31" t="inlineStr">
        <is>
          <t xml:space="preserve">Skipped</t>
        </is>
      </c>
      <c r="T42" s="32" t="inlineStr">
        <is>
          <t xml:space="preserve">APP GAP - automated, reported as fixme: KYC step has no file upload (documents are uploaded on the Documents step). Requirement kept as designed.</t>
        </is>
      </c>
      <c r="U42" s="31" t="inlineStr">
        <is>
          <t>N</t>
        </is>
      </c>
      <c r="V42" s="31" t="inlineStr">
        <is>
          <t>Negative</t>
        </is>
      </c>
      <c r="W42" s="32" t="inlineStr">
        <is>
          <t>-</t>
        </is>
      </c>
      <c r="X42" s="32" t="inlineStr">
        <is>
          <t>Creates its own application via fixture (independent; unique generated data).</t>
        </is>
      </c>
    </row>
    <row r="43" s="23">
      <c r="A43" s="31" t="inlineStr">
        <is>
          <t>TC-KYC-04</t>
        </is>
      </c>
      <c r="B43" s="32" t="inlineStr">
        <is>
          <t>PEP 'Yes' makes details mandatory</t>
        </is>
      </c>
      <c r="C43" s="32" t="inlineStr">
        <is>
          <t>KYC &amp; Financial</t>
        </is>
      </c>
      <c r="D43" s="31" t="inlineStr">
        <is>
          <t>UI</t>
        </is>
      </c>
      <c r="E43" s="32" t="inlineStr">
        <is>
          <t>CLI-V10</t>
        </is>
      </c>
      <c r="F43" s="32" t="inlineStr">
        <is>
          <t>QR-04</t>
        </is>
      </c>
      <c r="G43" s="32" t="inlineStr">
        <is>
          <t>PEP details optional</t>
        </is>
      </c>
      <c r="H43" s="32" t="inlineStr">
        <is>
          <t>On Compliance section.</t>
        </is>
      </c>
      <c r="I43" s="32" t="inlineStr">
        <is>
          <t>1. Select PEP = Yes.
2. Leave details blank and proceed.
3. Fill details and proceed.</t>
        </is>
      </c>
      <c r="J43" s="32" t="inlineStr">
        <is>
          <t>PEP detail text</t>
        </is>
      </c>
      <c r="K43" s="32" t="inlineStr">
        <is>
          <t>Details field appears and is mandatory; blank blocks progression; filled allows.
Also verify: the rejected value is not saved (reload or GET shows the previous/empty value).</t>
        </is>
      </c>
      <c r="L43" s="31" t="inlineStr">
        <is>
          <t>High</t>
        </is>
      </c>
      <c r="M43" s="31" t="inlineStr">
        <is>
          <t>P1</t>
        </is>
      </c>
      <c r="N43" s="31" t="n">
        <v>2</v>
      </c>
      <c r="O43" s="32" t="inlineStr">
        <is>
          <t>@regression kyc</t>
        </is>
      </c>
      <c r="P43" s="32" t="inlineStr">
        <is>
          <t>Screenshots before/after</t>
        </is>
      </c>
      <c r="Q43" s="31" t="inlineStr">
        <is>
          <t xml:space="preserve">Automated</t>
        </is>
      </c>
      <c r="R43" s="32" t="inlineStr">
        <is>
          <t>tests/client-information/kyc.spec.ts</t>
        </is>
      </c>
      <c r="S43" s="31" t="inlineStr">
        <is>
          <t xml:space="preserve">Skipped</t>
        </is>
      </c>
      <c r="T43" s="32" t="inlineStr">
        <is>
          <t xml:space="preserve">APP GAP - automated, reported as fixme: PEP details are not mandatory on the server when PEP = Yes. Requirement kept as designed.</t>
        </is>
      </c>
      <c r="U43" s="31" t="inlineStr">
        <is>
          <t>N</t>
        </is>
      </c>
      <c r="V43" s="31" t="inlineStr">
        <is>
          <t>Negative</t>
        </is>
      </c>
      <c r="W43" s="32" t="inlineStr">
        <is>
          <t>-</t>
        </is>
      </c>
      <c r="X43" s="32" t="inlineStr">
        <is>
          <t>Creates its own application via fixture (independent; unique generated data).</t>
        </is>
      </c>
    </row>
    <row r="44" s="23">
      <c r="A44" s="31" t="inlineStr">
        <is>
          <t>TC-KYC-05</t>
        </is>
      </c>
      <c r="B44" s="32" t="inlineStr">
        <is>
          <t>Income vs premium affordability validation is applied</t>
        </is>
      </c>
      <c r="C44" s="32" t="inlineStr">
        <is>
          <t>KYC &amp; Financial</t>
        </is>
      </c>
      <c r="D44" s="31" t="inlineStr">
        <is>
          <t>UI</t>
        </is>
      </c>
      <c r="E44" s="32" t="inlineStr">
        <is>
          <t>Risk QR-04 / QR-05</t>
        </is>
      </c>
      <c r="F44" s="32" t="inlineStr">
        <is>
          <t>QR-04, QR-05</t>
        </is>
      </c>
      <c r="G44" s="32" t="inlineStr">
        <is>
          <t xml:space="preserve">DEF-FIN-001 - Affordability skipped</t>
        </is>
      </c>
      <c r="H44" s="32" t="inlineStr">
        <is>
          <t>Client with low annual income; product configured with high premium.</t>
        </is>
      </c>
      <c r="I44" s="32" t="inlineStr">
        <is>
          <t>1. Enter low income on KYC step.
2. Configure product so annual premium exceeds affordability threshold (CONFIRM).
3. Proceed to review.</t>
        </is>
      </c>
      <c r="J44" s="32" t="inlineStr">
        <is>
          <t>Income 100000 (example), high face value</t>
        </is>
      </c>
      <c r="K44" s="32" t="inlineStr">
        <is>
          <t>Affordability warning or block displayed according to confirmed rule.
Also verify: the rejected value is not saved (reload or GET shows the previous/empty value).</t>
        </is>
      </c>
      <c r="L44" s="31" t="inlineStr">
        <is>
          <t>High</t>
        </is>
      </c>
      <c r="M44" s="31" t="inlineStr">
        <is>
          <t>P2</t>
        </is>
      </c>
      <c r="N44" s="31" t="n">
        <v>3</v>
      </c>
      <c r="O44" s="32" t="inlineStr">
        <is>
          <t>@regression kyc</t>
        </is>
      </c>
      <c r="P44" s="32" t="inlineStr">
        <is>
          <t>Screenshot of warning</t>
        </is>
      </c>
      <c r="Q44" s="31" t="inlineStr">
        <is>
          <t xml:space="preserve">Automated</t>
        </is>
      </c>
      <c r="R44" s="32" t="inlineStr">
        <is>
          <t>tests/client-information/kyc.spec.ts</t>
        </is>
      </c>
      <c r="S44" s="31" t="inlineStr">
        <is>
          <t xml:space="preserve">Fail</t>
        </is>
      </c>
      <c r="T44" s="32" t="inlineStr">
        <is>
          <t xml:space="preserve">FAIL BY DESIGN - seeded defect DEF-FIN-001 (Affordability skipped): no affordability warning for low income + maximum face value. Run 23-Oct-2026 (chromium, --workers=1).</t>
        </is>
      </c>
      <c r="U44" s="31" t="inlineStr">
        <is>
          <t>N</t>
        </is>
      </c>
      <c r="V44" s="31" t="inlineStr">
        <is>
          <t>Negative</t>
        </is>
      </c>
      <c r="W44" s="32" t="inlineStr">
        <is>
          <t>-</t>
        </is>
      </c>
      <c r="X44" s="32" t="inlineStr">
        <is>
          <t>Creates its own application via fixture (independent; unique generated data).</t>
        </is>
      </c>
    </row>
    <row r="45" s="23">
      <c r="A45" s="31" t="inlineStr">
        <is>
          <t>TC-KYC-06</t>
        </is>
      </c>
      <c r="B45" s="32" t="inlineStr">
        <is>
          <t>Incomplete compliance declaration blocks progression</t>
        </is>
      </c>
      <c r="C45" s="32" t="inlineStr">
        <is>
          <t>KYC &amp; Financial</t>
        </is>
      </c>
      <c r="D45" s="31" t="inlineStr">
        <is>
          <t>UI</t>
        </is>
      </c>
      <c r="E45" s="32" t="inlineStr">
        <is>
          <t>Functional spec: Compliance</t>
        </is>
      </c>
      <c r="F45" s="32" t="inlineStr">
        <is>
          <t>QR-04</t>
        </is>
      </c>
      <c r="G45" s="32" t="inlineStr">
        <is>
          <t>Declaration not enforced</t>
        </is>
      </c>
      <c r="H45" s="32" t="inlineStr">
        <is>
          <t>On KYC step.</t>
        </is>
      </c>
      <c r="I45" s="32" t="inlineStr">
        <is>
          <t>1. Leave PEP/declaration unanswered.
2. Proceed.</t>
        </is>
      </c>
      <c r="J45" s="32" t="inlineStr">
        <is>
          <t>Empty declaration</t>
        </is>
      </c>
      <c r="K45" s="32" t="inlineStr">
        <is>
          <t>Progression blocked with message on unanswered declaration.
Also verify: the rejected value is not saved (reload or GET shows the previous/empty value).</t>
        </is>
      </c>
      <c r="L45" s="31" t="inlineStr">
        <is>
          <t>Medium</t>
        </is>
      </c>
      <c r="M45" s="31" t="inlineStr">
        <is>
          <t>P2</t>
        </is>
      </c>
      <c r="N45" s="31" t="n">
        <v>3</v>
      </c>
      <c r="O45" s="32" t="inlineStr">
        <is>
          <t>@regression kyc</t>
        </is>
      </c>
      <c r="P45" s="32" t="inlineStr">
        <is>
          <t>Screenshot</t>
        </is>
      </c>
      <c r="Q45" s="31" t="inlineStr">
        <is>
          <t xml:space="preserve">Automated</t>
        </is>
      </c>
      <c r="R45" s="32" t="inlineStr">
        <is>
          <t>tests/client-information/kyc.spec.ts</t>
        </is>
      </c>
      <c r="S45" s="31" t="inlineStr">
        <is>
          <t xml:space="preserve">Pass</t>
        </is>
      </c>
      <c r="T45" s="32" t="inlineStr">
        <is>
          <t xml:space="preserve">Run 23-Oct-2026 (chromium, --workers=1): Pass.</t>
        </is>
      </c>
      <c r="U45" s="31" t="inlineStr">
        <is>
          <t>N</t>
        </is>
      </c>
      <c r="V45" s="31" t="inlineStr">
        <is>
          <t>Negative</t>
        </is>
      </c>
      <c r="W45" s="32" t="inlineStr">
        <is>
          <t>-</t>
        </is>
      </c>
      <c r="X45" s="32" t="inlineStr">
        <is>
          <t>Creates its own application via fixture (independent; unique generated data).</t>
        </is>
      </c>
    </row>
    <row r="46" s="23">
      <c r="A46" s="31" t="inlineStr">
        <is>
          <t>TC-KYC-07</t>
        </is>
      </c>
      <c r="B46" s="32" t="inlineStr">
        <is>
          <t>Sensitive ID is not returned unmasked in client API response</t>
        </is>
      </c>
      <c r="C46" s="32" t="inlineStr">
        <is>
          <t>KYC &amp; Financial</t>
        </is>
      </c>
      <c r="D46" s="31" t="inlineStr">
        <is>
          <t>API</t>
        </is>
      </c>
      <c r="E46" s="32" t="inlineStr">
        <is>
          <t>Spec: SSN masking</t>
        </is>
      </c>
      <c r="F46" s="32" t="inlineStr">
        <is>
          <t>QR-04</t>
        </is>
      </c>
      <c r="G46" s="32" t="inlineStr">
        <is>
          <t>SSN exposed in response</t>
        </is>
      </c>
      <c r="H46" s="32" t="inlineStr">
        <is>
          <t>Application with saved SSN; authenticated request context.</t>
        </is>
      </c>
      <c r="I46" s="32" t="inlineStr">
        <is>
          <t>1. GET /api/applications/{id}/client.
2. Inspect SSN field(s).</t>
        </is>
      </c>
      <c r="J46" s="32" t="inlineStr">
        <is>
          <t>Application from TC-KYC-01</t>
        </is>
      </c>
      <c r="K46" s="32" t="inlineStr">
        <is>
          <t>SSN returned masked (last four only) or absent; full value not present anywhere in body.</t>
        </is>
      </c>
      <c r="L46" s="31" t="inlineStr">
        <is>
          <t>Critical</t>
        </is>
      </c>
      <c r="M46" s="31" t="inlineStr">
        <is>
          <t>P1</t>
        </is>
      </c>
      <c r="N46" s="31" t="n">
        <v>2</v>
      </c>
      <c r="O46" s="32" t="inlineStr">
        <is>
          <t>@api @regression kyc</t>
        </is>
      </c>
      <c r="P46" s="32" t="inlineStr">
        <is>
          <t>Response body saved with value redacted</t>
        </is>
      </c>
      <c r="Q46" s="31" t="inlineStr">
        <is>
          <t xml:space="preserve">Automated</t>
        </is>
      </c>
      <c r="R46" s="32" t="inlineStr">
        <is>
          <t>tests/api/client-api.spec.ts</t>
        </is>
      </c>
      <c r="S46" s="31" t="inlineStr">
        <is>
          <t xml:space="preserve">Blocked</t>
        </is>
      </c>
      <c r="T46" s="32" t="inlineStr">
        <is>
          <t xml:space="preserve">Automated (Playwright api project) but not executable: the lab app has no REST API (/api/* returns 404).</t>
        </is>
      </c>
      <c r="U46" s="31" t="inlineStr">
        <is>
          <t>Y</t>
        </is>
      </c>
      <c r="V46" s="31" t="inlineStr">
        <is>
          <t>Positive</t>
        </is>
      </c>
      <c r="W46" s="32" t="inlineStr">
        <is>
          <t>-</t>
        </is>
      </c>
      <c r="X46" s="32" t="inlineStr">
        <is>
          <t>Creates its own application via fixture (independent; unique generated data).</t>
        </is>
      </c>
    </row>
    <row r="47" s="23">
      <c r="A47" s="31" t="inlineStr">
        <is>
          <t>TC-KYC-08</t>
        </is>
      </c>
      <c r="B47" s="32" t="inlineStr">
        <is>
          <t>Financial suitability fields are mandatory and numeric-validated</t>
        </is>
      </c>
      <c r="C47" s="32" t="inlineStr">
        <is>
          <t>KYC &amp; Financial</t>
        </is>
      </c>
      <c r="D47" s="31" t="inlineStr">
        <is>
          <t>UI</t>
        </is>
      </c>
      <c r="E47" s="32" t="inlineStr">
        <is>
          <t>Spec: income, net worth, source of funds, risk profile</t>
        </is>
      </c>
      <c r="F47" s="32" t="inlineStr">
        <is>
          <t>QR-04</t>
        </is>
      </c>
      <c r="G47" s="32" t="inlineStr">
        <is>
          <t>Financial fields skipped / invalid values accepted</t>
        </is>
      </c>
      <c r="H47" s="32" t="inlineStr">
        <is>
          <t>On KYC step.</t>
        </is>
      </c>
      <c r="I47" s="32" t="inlineStr">
        <is>
          <t xml:space="preserve">1. Leave annual income and net worth empty; proceed.
2. Enter negative and non-numeric income/net worth; proceed.
3. Enter valid values.</t>
        </is>
      </c>
      <c r="J47" s="32" t="inlineStr">
        <is>
          <t xml:space="preserve">Empty; -1; 'abc'; valid income and net worth (source of funds and risk profile dropdowns always hold a value)</t>
        </is>
      </c>
      <c r="K47" s="32" t="inlineStr">
        <is>
          <t>Empty and invalid values blocked with field-level errors; valid values accepted.
Also verify: the rejected value is not saved (reload or GET shows the previous/empty value).</t>
        </is>
      </c>
      <c r="L47" s="31" t="inlineStr">
        <is>
          <t>High</t>
        </is>
      </c>
      <c r="M47" s="31" t="inlineStr">
        <is>
          <t>P2</t>
        </is>
      </c>
      <c r="N47" s="31" t="n">
        <v>2</v>
      </c>
      <c r="O47" s="32" t="inlineStr">
        <is>
          <t>@regression kyc</t>
        </is>
      </c>
      <c r="P47" s="32" t="inlineStr">
        <is>
          <t>Screenshots</t>
        </is>
      </c>
      <c r="Q47" s="31" t="inlineStr">
        <is>
          <t xml:space="preserve">Automated</t>
        </is>
      </c>
      <c r="R47" s="32" t="inlineStr">
        <is>
          <t>tests/client-information/kyc.spec.ts</t>
        </is>
      </c>
      <c r="S47" s="31" t="inlineStr">
        <is>
          <t xml:space="preserve">Pass</t>
        </is>
      </c>
      <c r="T47" s="32" t="inlineStr">
        <is>
          <t xml:space="preserve">Run 23-Oct-2026 (chromium, --workers=1): Pass. Steps/expected result updated to match the app: Source of funds and risk profile have no blank option, so only income and net worth are checked as empty.</t>
        </is>
      </c>
      <c r="U47" s="31" t="inlineStr">
        <is>
          <t>N</t>
        </is>
      </c>
      <c r="V47" s="31" t="inlineStr">
        <is>
          <t>Negative</t>
        </is>
      </c>
      <c r="W47" s="32" t="inlineStr">
        <is>
          <t>-</t>
        </is>
      </c>
      <c r="X47" s="32" t="inlineStr">
        <is>
          <t>Creates its own application via fixture (independent; unique generated data).</t>
        </is>
      </c>
    </row>
    <row r="48" s="23">
      <c r="A48" s="31" t="inlineStr">
        <is>
          <t>TC-KYC-09</t>
        </is>
      </c>
      <c r="B48" s="32" t="inlineStr">
        <is>
          <t>ID issue/expiry dates are validated</t>
        </is>
      </c>
      <c r="C48" s="32" t="inlineStr">
        <is>
          <t>KYC &amp; Financial</t>
        </is>
      </c>
      <c r="D48" s="31" t="inlineStr">
        <is>
          <t>UI</t>
        </is>
      </c>
      <c r="E48" s="32" t="inlineStr">
        <is>
          <t>Spec: ID issue/expiry date</t>
        </is>
      </c>
      <c r="F48" s="32" t="inlineStr">
        <is>
          <t>QR-04</t>
        </is>
      </c>
      <c r="G48" s="32" t="inlineStr">
        <is>
          <t>Expired or inconsistent ID accepted</t>
        </is>
      </c>
      <c r="H48" s="32" t="inlineStr">
        <is>
          <t>On KYC step.</t>
        </is>
      </c>
      <c r="I48" s="32" t="inlineStr">
        <is>
          <t>1. Enter an expiry date in the past.
2. Enter expiry earlier than issue date.
3. Enter issue date in the future.
4. Enter valid dates.</t>
        </is>
      </c>
      <c r="J48" s="32" t="inlineStr">
        <is>
          <t>Past expiry; expiry &lt; issue; future issue; valid</t>
        </is>
      </c>
      <c r="K48" s="32" t="inlineStr">
        <is>
          <t>Cases 1-3 rejected with clear errors (rule CONFIRM); valid dates accepted.
Also verify: the rejected value is not saved (reload or GET shows the previous/empty value).</t>
        </is>
      </c>
      <c r="L48" s="31" t="inlineStr">
        <is>
          <t>Medium</t>
        </is>
      </c>
      <c r="M48" s="31" t="inlineStr">
        <is>
          <t>P2</t>
        </is>
      </c>
      <c r="N48" s="31" t="n">
        <v>3</v>
      </c>
      <c r="O48" s="32" t="inlineStr">
        <is>
          <t>@regression kyc</t>
        </is>
      </c>
      <c r="P48" s="32" t="inlineStr">
        <is>
          <t>Screenshots</t>
        </is>
      </c>
      <c r="Q48" s="31" t="inlineStr">
        <is>
          <t xml:space="preserve">Automated</t>
        </is>
      </c>
      <c r="R48" s="32" t="inlineStr">
        <is>
          <t>tests/client-information/kyc.spec.ts</t>
        </is>
      </c>
      <c r="S48" s="31" t="inlineStr">
        <is>
          <t xml:space="preserve">Skipped</t>
        </is>
      </c>
      <c r="T48" s="32" t="inlineStr">
        <is>
          <t xml:space="preserve">APP GAP - automated, reported as fixme: ID issue/expiry dates are only checked with after_or_equal. Requirement kept as designed.</t>
        </is>
      </c>
      <c r="U48" s="31" t="inlineStr">
        <is>
          <t>N</t>
        </is>
      </c>
      <c r="V48" s="31" t="inlineStr">
        <is>
          <t>Negative</t>
        </is>
      </c>
      <c r="W48" s="32" t="inlineStr">
        <is>
          <t>-</t>
        </is>
      </c>
      <c r="X48" s="32" t="inlineStr">
        <is>
          <t>Creates its own application via fixture (independent; unique generated data).</t>
        </is>
      </c>
    </row>
    <row r="49" s="23">
      <c r="A49" s="31" t="inlineStr">
        <is>
          <t>TC-PROD-01</t>
        </is>
      </c>
      <c r="B49" s="32" t="inlineStr">
        <is>
          <t>Catalog lists expected Whole Life products</t>
        </is>
      </c>
      <c r="C49" s="32" t="inlineStr">
        <is>
          <t>Product &amp; Policy</t>
        </is>
      </c>
      <c r="D49" s="31" t="inlineStr">
        <is>
          <t>UI</t>
        </is>
      </c>
      <c r="E49" s="32" t="inlineStr">
        <is>
          <t>PROD-V01</t>
        </is>
      </c>
      <c r="F49" s="32" t="inlineStr">
        <is>
          <t>QR-05</t>
        </is>
      </c>
      <c r="G49" s="32" t="inlineStr">
        <is>
          <t>Product missing/wrong in catalog</t>
        </is>
      </c>
      <c r="H49" s="32" t="inlineStr">
        <is>
          <t>Logged in; /products reachable.</t>
        </is>
      </c>
      <c r="I49" s="32" t="inlineStr">
        <is>
          <t>1. Open /products.
2. Read product cards.</t>
        </is>
      </c>
      <c r="J49" s="32" t="inlineStr">
        <is>
          <t>Expected product names (from seed, CONFIRM)</t>
        </is>
      </c>
      <c r="K49" s="32" t="inlineStr">
        <is>
          <t>Expected active products are shown with names and key details.</t>
        </is>
      </c>
      <c r="L49" s="31" t="inlineStr">
        <is>
          <t>Medium</t>
        </is>
      </c>
      <c r="M49" s="31" t="inlineStr">
        <is>
          <t>P2</t>
        </is>
      </c>
      <c r="N49" s="31" t="n">
        <v>2</v>
      </c>
      <c r="O49" s="32" t="inlineStr">
        <is>
          <t>@regression product</t>
        </is>
      </c>
      <c r="P49" s="32" t="inlineStr">
        <is>
          <t>Screenshot of catalog</t>
        </is>
      </c>
      <c r="Q49" s="31" t="inlineStr">
        <is>
          <t xml:space="preserve">Automated</t>
        </is>
      </c>
      <c r="R49" s="32" t="inlineStr">
        <is>
          <t>tests/product-selection/catalog.spec.ts</t>
        </is>
      </c>
      <c r="S49" s="31" t="inlineStr">
        <is>
          <t xml:space="preserve">Pass</t>
        </is>
      </c>
      <c r="T49" s="32" t="inlineStr">
        <is>
          <t xml:space="preserve">Run 23-Oct-2026 (chromium, --workers=1): Pass.</t>
        </is>
      </c>
      <c r="U49" s="31" t="inlineStr">
        <is>
          <t>N</t>
        </is>
      </c>
      <c r="V49" s="31" t="inlineStr">
        <is>
          <t>Positive</t>
        </is>
      </c>
      <c r="W49" s="32" t="inlineStr">
        <is>
          <t>-</t>
        </is>
      </c>
      <c r="X49" s="32" t="inlineStr">
        <is>
          <t>Creates its own application via fixture (independent; unique generated data).</t>
        </is>
      </c>
    </row>
    <row r="50" s="23">
      <c r="A50" s="31" t="inlineStr">
        <is>
          <t>TC-PROD-02</t>
        </is>
      </c>
      <c r="B50" s="32" t="inlineStr">
        <is>
          <t>Product detail page shows features, eligibility and limits</t>
        </is>
      </c>
      <c r="C50" s="32" t="inlineStr">
        <is>
          <t>Product &amp; Policy</t>
        </is>
      </c>
      <c r="D50" s="31" t="inlineStr">
        <is>
          <t>UI</t>
        </is>
      </c>
      <c r="E50" s="32" t="inlineStr">
        <is>
          <t>PROD-V02</t>
        </is>
      </c>
      <c r="F50" s="32" t="inlineStr">
        <is>
          <t>QR-05</t>
        </is>
      </c>
      <c r="G50" s="32" t="inlineStr">
        <is>
          <t>Product detail incorrect</t>
        </is>
      </c>
      <c r="H50" s="32" t="inlineStr">
        <is>
          <t>On /products.</t>
        </is>
      </c>
      <c r="I50" s="32" t="inlineStr">
        <is>
          <t>1. Click a product.
2. Read detail page.</t>
        </is>
      </c>
      <c r="J50" s="32" t="inlineStr">
        <is>
          <t>First active product</t>
        </is>
      </c>
      <c r="K50" s="32" t="inlineStr">
        <is>
          <t>/products/:id opens; features, eligibility and coverage limits visible.</t>
        </is>
      </c>
      <c r="L50" s="31" t="inlineStr">
        <is>
          <t>Medium</t>
        </is>
      </c>
      <c r="M50" s="31" t="inlineStr">
        <is>
          <t>P3</t>
        </is>
      </c>
      <c r="N50" s="31" t="n">
        <v>2</v>
      </c>
      <c r="O50" s="32" t="inlineStr">
        <is>
          <t>@regression product</t>
        </is>
      </c>
      <c r="P50" s="32" t="inlineStr">
        <is>
          <t>Screenshot of detail page</t>
        </is>
      </c>
      <c r="Q50" s="31" t="inlineStr">
        <is>
          <t xml:space="preserve">Automated</t>
        </is>
      </c>
      <c r="R50" s="32" t="inlineStr">
        <is>
          <t>tests/product-selection/catalog.spec.ts</t>
        </is>
      </c>
      <c r="S50" s="31" t="inlineStr">
        <is>
          <t xml:space="preserve">Pass</t>
        </is>
      </c>
      <c r="T50" s="32" t="inlineStr">
        <is>
          <t xml:space="preserve">Run 23-Oct-2026 (chromium, --workers=1): Pass.</t>
        </is>
      </c>
      <c r="U50" s="31" t="inlineStr">
        <is>
          <t>N</t>
        </is>
      </c>
      <c r="V50" s="31" t="inlineStr">
        <is>
          <t>Positive</t>
        </is>
      </c>
      <c r="W50" s="32" t="inlineStr">
        <is>
          <t>-</t>
        </is>
      </c>
      <c r="X50" s="32" t="inlineStr">
        <is>
          <t>Creates its own application via fixture (independent; unique generated data).</t>
        </is>
      </c>
    </row>
    <row r="51" s="23">
      <c r="A51" s="31" t="inlineStr">
        <is>
          <t>TC-PROD-03</t>
        </is>
      </c>
      <c r="B51" s="32" t="inlineStr">
        <is>
          <t>Face value below minimum is rejected</t>
        </is>
      </c>
      <c r="C51" s="32" t="inlineStr">
        <is>
          <t>Product &amp; Policy</t>
        </is>
      </c>
      <c r="D51" s="31" t="inlineStr">
        <is>
          <t>UI</t>
        </is>
      </c>
      <c r="E51" s="32" t="inlineStr">
        <is>
          <t>PROD-V03</t>
        </is>
      </c>
      <c r="F51" s="32" t="inlineStr">
        <is>
          <t>QR-05</t>
        </is>
      </c>
      <c r="G51" s="32" t="inlineStr">
        <is>
          <t>Face value minimum not enforced</t>
        </is>
      </c>
      <c r="H51" s="32" t="inlineStr">
        <is>
          <t>Product selected; limits known (CONFIRM).</t>
        </is>
      </c>
      <c r="I51" s="32" t="inlineStr">
        <is>
          <t>1. Enter face value = min - 1.
2. Attempt to save.
3. Enter exactly min.</t>
        </is>
      </c>
      <c r="J51" s="32" t="inlineStr">
        <is>
          <t>MIN_FACE_VALUE (from product detail)</t>
        </is>
      </c>
      <c r="K51" s="32" t="inlineStr">
        <is>
          <t>min-1 rejected with validation; exactly min accepted.
Also verify: the rejected value is not saved (reload or GET shows the previous/empty value).</t>
        </is>
      </c>
      <c r="L51" s="31" t="inlineStr">
        <is>
          <t>High</t>
        </is>
      </c>
      <c r="M51" s="31" t="inlineStr">
        <is>
          <t>P1</t>
        </is>
      </c>
      <c r="N51" s="31" t="n">
        <v>2</v>
      </c>
      <c r="O51" s="32" t="inlineStr">
        <is>
          <t>@regression product</t>
        </is>
      </c>
      <c r="P51" s="32" t="inlineStr">
        <is>
          <t>Screenshots of both boundaries</t>
        </is>
      </c>
      <c r="Q51" s="31" t="inlineStr">
        <is>
          <t xml:space="preserve">Automated</t>
        </is>
      </c>
      <c r="R51" s="32" t="inlineStr">
        <is>
          <t>tests/product-selection/face-value.spec.ts</t>
        </is>
      </c>
      <c r="S51" s="31" t="inlineStr">
        <is>
          <t xml:space="preserve">Pass</t>
        </is>
      </c>
      <c r="T51" s="32" t="inlineStr">
        <is>
          <t xml:space="preserve">Run 23-Oct-2026 (chromium, --workers=1): Pass.</t>
        </is>
      </c>
      <c r="U51" s="31" t="inlineStr">
        <is>
          <t>N</t>
        </is>
      </c>
      <c r="V51" s="31" t="inlineStr">
        <is>
          <t>Boundary</t>
        </is>
      </c>
      <c r="W51" s="32" t="inlineStr">
        <is>
          <t>-</t>
        </is>
      </c>
      <c r="X51" s="32" t="inlineStr">
        <is>
          <t>Creates its own application via fixture (independent; unique generated data).</t>
        </is>
      </c>
    </row>
    <row r="52" s="23">
      <c r="A52" s="31" t="inlineStr">
        <is>
          <t>TC-PROD-04</t>
        </is>
      </c>
      <c r="B52" s="32" t="inlineStr">
        <is>
          <t>Face value above maximum is rejected</t>
        </is>
      </c>
      <c r="C52" s="32" t="inlineStr">
        <is>
          <t>Product &amp; Policy</t>
        </is>
      </c>
      <c r="D52" s="31" t="inlineStr">
        <is>
          <t>UI</t>
        </is>
      </c>
      <c r="E52" s="32" t="inlineStr">
        <is>
          <t>PROD-V04</t>
        </is>
      </c>
      <c r="F52" s="32" t="inlineStr">
        <is>
          <t>QR-05</t>
        </is>
      </c>
      <c r="G52" s="32" t="inlineStr">
        <is>
          <t>Face value maximum not enforced</t>
        </is>
      </c>
      <c r="H52" s="32" t="inlineStr">
        <is>
          <t>Product selected; limits known.</t>
        </is>
      </c>
      <c r="I52" s="32" t="inlineStr">
        <is>
          <t>1. Enter face value = max + 1.
2. Attempt to save.
3. Enter exactly max.</t>
        </is>
      </c>
      <c r="J52" s="32" t="inlineStr">
        <is>
          <t>MAX_FACE_VALUE</t>
        </is>
      </c>
      <c r="K52" s="32" t="inlineStr">
        <is>
          <t>max+1 rejected with validation; exactly max accepted.
Also verify: the rejected value is not saved (reload or GET shows the previous/empty value).</t>
        </is>
      </c>
      <c r="L52" s="31" t="inlineStr">
        <is>
          <t>High</t>
        </is>
      </c>
      <c r="M52" s="31" t="inlineStr">
        <is>
          <t>P1</t>
        </is>
      </c>
      <c r="N52" s="31" t="n">
        <v>2</v>
      </c>
      <c r="O52" s="32" t="inlineStr">
        <is>
          <t>@regression product</t>
        </is>
      </c>
      <c r="P52" s="32" t="inlineStr">
        <is>
          <t>Screenshots of both boundaries</t>
        </is>
      </c>
      <c r="Q52" s="31" t="inlineStr">
        <is>
          <t xml:space="preserve">Automated</t>
        </is>
      </c>
      <c r="R52" s="32" t="inlineStr">
        <is>
          <t>tests/product-selection/face-value.spec.ts</t>
        </is>
      </c>
      <c r="S52" s="31" t="inlineStr">
        <is>
          <t xml:space="preserve">Pass</t>
        </is>
      </c>
      <c r="T52" s="32" t="inlineStr">
        <is>
          <t xml:space="preserve">Run 23-Oct-2026 (chromium, --workers=1): Pass.</t>
        </is>
      </c>
      <c r="U52" s="31" t="inlineStr">
        <is>
          <t>N</t>
        </is>
      </c>
      <c r="V52" s="31" t="inlineStr">
        <is>
          <t>Boundary</t>
        </is>
      </c>
      <c r="W52" s="32" t="inlineStr">
        <is>
          <t>-</t>
        </is>
      </c>
      <c r="X52" s="32" t="inlineStr">
        <is>
          <t>Creates its own application via fixture (independent; unique generated data).</t>
        </is>
      </c>
    </row>
    <row r="53" s="23">
      <c r="A53" s="31" t="inlineStr">
        <is>
          <t>TC-PROD-05</t>
        </is>
      </c>
      <c r="B53" s="32" t="inlineStr">
        <is>
          <t>Premium recalculates when frequency changes</t>
        </is>
      </c>
      <c r="C53" s="32" t="inlineStr">
        <is>
          <t>Product &amp; Policy</t>
        </is>
      </c>
      <c r="D53" s="31" t="inlineStr">
        <is>
          <t>UI</t>
        </is>
      </c>
      <c r="E53" s="32" t="inlineStr">
        <is>
          <t>PROD-V05</t>
        </is>
      </c>
      <c r="F53" s="32" t="inlineStr">
        <is>
          <t>QR-05</t>
        </is>
      </c>
      <c r="G53" s="32" t="inlineStr">
        <is>
          <t>Premium not recalculated on frequency change</t>
        </is>
      </c>
      <c r="H53" s="32" t="inlineStr">
        <is>
          <t>Valid face value entered.</t>
        </is>
      </c>
      <c r="I53" s="32" t="inlineStr">
        <is>
          <t>1. Note premium for Monthly.
2. Switch to Quarterly, Semi-annual, Annual and note each.</t>
        </is>
      </c>
      <c r="J53" s="32" t="inlineStr">
        <is>
          <t>Fixed face value</t>
        </is>
      </c>
      <c r="K53" s="32" t="inlineStr">
        <is>
          <t>Displayed premium changes for each frequency and matches API/formula once confirmed.</t>
        </is>
      </c>
      <c r="L53" s="31" t="inlineStr">
        <is>
          <t>High</t>
        </is>
      </c>
      <c r="M53" s="31" t="inlineStr">
        <is>
          <t>P1</t>
        </is>
      </c>
      <c r="N53" s="31" t="n">
        <v>2</v>
      </c>
      <c r="O53" s="32" t="inlineStr">
        <is>
          <t>@regression product</t>
        </is>
      </c>
      <c r="P53" s="32" t="inlineStr">
        <is>
          <t>Table of frequency vs premium in log</t>
        </is>
      </c>
      <c r="Q53" s="31" t="inlineStr">
        <is>
          <t xml:space="preserve">Automated</t>
        </is>
      </c>
      <c r="R53" s="32" t="inlineStr">
        <is>
          <t>tests/product-selection/premium.spec.ts</t>
        </is>
      </c>
      <c r="S53" s="31" t="inlineStr">
        <is>
          <t xml:space="preserve">Pass</t>
        </is>
      </c>
      <c r="T53" s="32" t="inlineStr">
        <is>
          <t xml:space="preserve">Run 23-Oct-2026 (chromium, --workers=1): Pass.</t>
        </is>
      </c>
      <c r="U53" s="31" t="inlineStr">
        <is>
          <t>Y</t>
        </is>
      </c>
      <c r="V53" s="31" t="inlineStr">
        <is>
          <t>Positive</t>
        </is>
      </c>
      <c r="W53" s="32" t="inlineStr">
        <is>
          <t>API: premium field (if exposed)</t>
        </is>
      </c>
      <c r="X53" s="32" t="inlineStr">
        <is>
          <t>Creates its own application via fixture (independent; unique generated data).</t>
        </is>
      </c>
    </row>
    <row r="54" s="23">
      <c r="A54" s="31" t="inlineStr">
        <is>
          <t>TC-PROD-06</t>
        </is>
      </c>
      <c r="B54" s="32" t="inlineStr">
        <is>
          <t>Review-page premium equals configuration-page premium</t>
        </is>
      </c>
      <c r="C54" s="32" t="inlineStr">
        <is>
          <t>Product &amp; Policy</t>
        </is>
      </c>
      <c r="D54" s="31" t="inlineStr">
        <is>
          <t>UI</t>
        </is>
      </c>
      <c r="E54" s="32" t="inlineStr">
        <is>
          <t>PROD-V06</t>
        </is>
      </c>
      <c r="F54" s="32" t="inlineStr">
        <is>
          <t>QR-05</t>
        </is>
      </c>
      <c r="G54" s="32" t="inlineStr">
        <is>
          <t>Review premium differs from config</t>
        </is>
      </c>
      <c r="H54" s="32" t="inlineStr">
        <is>
          <t>Application configured through product step.</t>
        </is>
      </c>
      <c r="I54" s="32" t="inlineStr">
        <is>
          <t>1. Capture premium on configuration page.
2. Navigate to /review.
3. Compare.</t>
        </is>
      </c>
      <c r="J54" s="32" t="inlineStr">
        <is>
          <t>Configured application</t>
        </is>
      </c>
      <c r="K54" s="32" t="inlineStr">
        <is>
          <t>Premium values are identical (same currency/rounding).</t>
        </is>
      </c>
      <c r="L54" s="31" t="inlineStr">
        <is>
          <t>High</t>
        </is>
      </c>
      <c r="M54" s="31" t="inlineStr">
        <is>
          <t>P1</t>
        </is>
      </c>
      <c r="N54" s="31" t="n">
        <v>2</v>
      </c>
      <c r="O54" s="32" t="inlineStr">
        <is>
          <t>@regression product</t>
        </is>
      </c>
      <c r="P54" s="32" t="inlineStr">
        <is>
          <t>Screenshots of both pages</t>
        </is>
      </c>
      <c r="Q54" s="31" t="inlineStr">
        <is>
          <t xml:space="preserve">Automated</t>
        </is>
      </c>
      <c r="R54" s="32" t="inlineStr">
        <is>
          <t>tests/product-selection/premium.spec.ts</t>
        </is>
      </c>
      <c r="S54" s="31" t="inlineStr">
        <is>
          <t xml:space="preserve">Pass</t>
        </is>
      </c>
      <c r="T54" s="32" t="inlineStr">
        <is>
          <t xml:space="preserve">Run 23-Oct-2026 (chromium, --workers=1): Pass.</t>
        </is>
      </c>
      <c r="U54" s="31" t="inlineStr">
        <is>
          <t>Y</t>
        </is>
      </c>
      <c r="V54" s="31" t="inlineStr">
        <is>
          <t>Positive</t>
        </is>
      </c>
      <c r="W54" s="32" t="inlineStr">
        <is>
          <t>API: premium on review payload</t>
        </is>
      </c>
      <c r="X54" s="32" t="inlineStr">
        <is>
          <t>Creates its own application via fixture (independent; unique generated data).</t>
        </is>
      </c>
    </row>
    <row r="55" s="23">
      <c r="A55" s="31" t="inlineStr">
        <is>
          <t>TC-PROD-07</t>
        </is>
      </c>
      <c r="B55" s="32" t="inlineStr">
        <is>
          <t>Suitability warning appears for risk-profile mismatch</t>
        </is>
      </c>
      <c r="C55" s="32" t="inlineStr">
        <is>
          <t>Product &amp; Policy</t>
        </is>
      </c>
      <c r="D55" s="31" t="inlineStr">
        <is>
          <t>UI</t>
        </is>
      </c>
      <c r="E55" s="32" t="inlineStr">
        <is>
          <t>PROD-V07</t>
        </is>
      </c>
      <c r="F55" s="32" t="inlineStr">
        <is>
          <t>QR-05</t>
        </is>
      </c>
      <c r="G55" s="32" t="inlineStr">
        <is>
          <t xml:space="preserve">DEF-FIN-001 - Affordability skipped</t>
        </is>
      </c>
      <c r="H55" s="32" t="inlineStr">
        <is>
          <t>KYC risk profile set to conservative; high-risk product/amount chosen.</t>
        </is>
      </c>
      <c r="I55" s="32" t="inlineStr">
        <is>
          <t>1. Set risk profile on KYC.
2. Select mismatching product/face value.</t>
        </is>
      </c>
      <c r="J55" s="32" t="inlineStr">
        <is>
          <t>Risk profile = low (CONFIRM)</t>
        </is>
      </c>
      <c r="K55" s="32" t="inlineStr">
        <is>
          <t>Suitability warning visible.
Also verify: the rejected value is not saved (reload or GET shows the previous/empty value).</t>
        </is>
      </c>
      <c r="L55" s="31" t="inlineStr">
        <is>
          <t>Medium</t>
        </is>
      </c>
      <c r="M55" s="31" t="inlineStr">
        <is>
          <t>P2</t>
        </is>
      </c>
      <c r="N55" s="31" t="n">
        <v>3</v>
      </c>
      <c r="O55" s="32" t="inlineStr">
        <is>
          <t>@regression product</t>
        </is>
      </c>
      <c r="P55" s="32" t="inlineStr">
        <is>
          <t>Screenshot of warning</t>
        </is>
      </c>
      <c r="Q55" s="31" t="inlineStr">
        <is>
          <t xml:space="preserve">Automated</t>
        </is>
      </c>
      <c r="R55" s="32" t="inlineStr">
        <is>
          <t>tests/product-selection/suitability.spec.ts</t>
        </is>
      </c>
      <c r="S55" s="31" t="inlineStr">
        <is>
          <t xml:space="preserve">Fail</t>
        </is>
      </c>
      <c r="T55" s="32" t="inlineStr">
        <is>
          <t xml:space="preserve">FAIL BY DESIGN - seeded defect DEF-FIN-001 (Affordability skipped): no suitability warning for a risk-profile mismatch. Run 23-Oct-2026 (chromium, --workers=1).</t>
        </is>
      </c>
      <c r="U55" s="31" t="inlineStr">
        <is>
          <t>N</t>
        </is>
      </c>
      <c r="V55" s="31" t="inlineStr">
        <is>
          <t>Negative</t>
        </is>
      </c>
      <c r="W55" s="32" t="inlineStr">
        <is>
          <t>-</t>
        </is>
      </c>
      <c r="X55" s="32" t="inlineStr">
        <is>
          <t>Creates its own application via fixture (independent; unique generated data).</t>
        </is>
      </c>
    </row>
    <row r="56" s="23">
      <c r="A56" s="31" t="inlineStr">
        <is>
          <t>TC-PROD-08</t>
        </is>
      </c>
      <c r="B56" s="32" t="inlineStr">
        <is>
          <t>Inactive product cannot be selected</t>
        </is>
      </c>
      <c r="C56" s="32" t="inlineStr">
        <is>
          <t>Product &amp; Policy</t>
        </is>
      </c>
      <c r="D56" s="31" t="inlineStr">
        <is>
          <t>UI</t>
        </is>
      </c>
      <c r="E56" s="32" t="inlineStr">
        <is>
          <t>Guideline: inactive products</t>
        </is>
      </c>
      <c r="F56" s="32" t="inlineStr">
        <is>
          <t>QR-05</t>
        </is>
      </c>
      <c r="G56" s="32" t="inlineStr">
        <is>
          <t>Inactive product selectable</t>
        </is>
      </c>
      <c r="H56" s="32" t="inlineStr">
        <is>
          <t>At least one inactive product in seed data (CONFIRM).</t>
        </is>
      </c>
      <c r="I56" s="32" t="inlineStr">
        <is>
          <t>1. Look for inactive product in catalog.
2. Try to select/configure it (UI and direct URL).</t>
        </is>
      </c>
      <c r="J56" s="32" t="inlineStr">
        <is>
          <t>Inactive product id</t>
        </is>
      </c>
      <c r="K56" s="32" t="inlineStr">
        <is>
          <t>Inactive product is hidden or select action disabled; direct URL/API does not allow configuration.
Also verify: the rejected value is not saved (reload or GET shows the previous/empty value).</t>
        </is>
      </c>
      <c r="L56" s="31" t="inlineStr">
        <is>
          <t>High</t>
        </is>
      </c>
      <c r="M56" s="31" t="inlineStr">
        <is>
          <t>P2</t>
        </is>
      </c>
      <c r="N56" s="31" t="n">
        <v>3</v>
      </c>
      <c r="O56" s="32" t="inlineStr">
        <is>
          <t>@regression product</t>
        </is>
      </c>
      <c r="P56" s="32" t="inlineStr">
        <is>
          <t>Screenshot</t>
        </is>
      </c>
      <c r="Q56" s="31" t="inlineStr">
        <is>
          <t xml:space="preserve">Automated</t>
        </is>
      </c>
      <c r="R56" s="32" t="inlineStr">
        <is>
          <t>tests/product-selection/catalog.spec.ts</t>
        </is>
      </c>
      <c r="S56" s="31" t="inlineStr">
        <is>
          <t xml:space="preserve">Skipped</t>
        </is>
      </c>
      <c r="T56" s="32" t="inlineStr">
        <is>
          <t xml:space="preserve">Skipped: INACTIVE_PRODUCT_NAME not configured (no inactive product seeded).</t>
        </is>
      </c>
      <c r="U56" s="31" t="inlineStr">
        <is>
          <t>N</t>
        </is>
      </c>
      <c r="V56" s="31" t="inlineStr">
        <is>
          <t>Negative</t>
        </is>
      </c>
      <c r="W56" s="32" t="inlineStr">
        <is>
          <t>-</t>
        </is>
      </c>
      <c r="X56" s="32" t="inlineStr">
        <is>
          <t>Creates its own application via fixture (independent; unique generated data).</t>
        </is>
      </c>
    </row>
    <row r="57" s="23">
      <c r="A57" s="31" t="inlineStr">
        <is>
          <t>TC-PROD-09</t>
        </is>
      </c>
      <c r="B57" s="32" t="inlineStr">
        <is>
          <t>Saved product configuration persists after reopening</t>
        </is>
      </c>
      <c r="C57" s="32" t="inlineStr">
        <is>
          <t>Product &amp; Policy</t>
        </is>
      </c>
      <c r="D57" s="31" t="inlineStr">
        <is>
          <t>UI</t>
        </is>
      </c>
      <c r="E57" s="32" t="inlineStr">
        <is>
          <t>Guideline: persistence checks</t>
        </is>
      </c>
      <c r="F57" s="32" t="inlineStr">
        <is>
          <t>QR-10</t>
        </is>
      </c>
      <c r="G57" s="32" t="inlineStr">
        <is>
          <t>Configuration not persisted</t>
        </is>
      </c>
      <c r="H57" s="32" t="inlineStr">
        <is>
          <t>Application with product configured and saved.</t>
        </is>
      </c>
      <c r="I57" s="32" t="inlineStr">
        <is>
          <t>1. Save product configuration.
2. Go to dashboard and resume.
3. Open product step.</t>
        </is>
      </c>
      <c r="J57" s="32" t="inlineStr">
        <is>
          <t>Face value, frequency, payment term, policy term</t>
        </is>
      </c>
      <c r="K57" s="32" t="inlineStr">
        <is>
          <t xml:space="preserve">All configured values and premium are restored exactly (amounts compared numerically: the app stores 150000 as 150000.00).</t>
        </is>
      </c>
      <c r="L57" s="31" t="inlineStr">
        <is>
          <t>High</t>
        </is>
      </c>
      <c r="M57" s="31" t="inlineStr">
        <is>
          <t>P2</t>
        </is>
      </c>
      <c r="N57" s="31" t="n">
        <v>3</v>
      </c>
      <c r="O57" s="32" t="inlineStr">
        <is>
          <t>@regression product</t>
        </is>
      </c>
      <c r="P57" s="32" t="inlineStr">
        <is>
          <t>Screenshot of restored values</t>
        </is>
      </c>
      <c r="Q57" s="31" t="inlineStr">
        <is>
          <t xml:space="preserve">Automated</t>
        </is>
      </c>
      <c r="R57" s="32" t="inlineStr">
        <is>
          <t>tests/product-selection/persistence.spec.ts</t>
        </is>
      </c>
      <c r="S57" s="31" t="inlineStr">
        <is>
          <t xml:space="preserve">Pass</t>
        </is>
      </c>
      <c r="T57" s="32" t="inlineStr">
        <is>
          <t xml:space="preserve">Run 23-Oct-2026 (chromium, --workers=1): Pass. Steps/expected result updated to match the app: Face value is compared as a number.</t>
        </is>
      </c>
      <c r="U57" s="31" t="inlineStr">
        <is>
          <t>N</t>
        </is>
      </c>
      <c r="V57" s="31" t="inlineStr">
        <is>
          <t>Positive</t>
        </is>
      </c>
      <c r="W57" s="32" t="inlineStr">
        <is>
          <t>-</t>
        </is>
      </c>
      <c r="X57" s="32" t="inlineStr">
        <is>
          <t>Creates its own application via fixture (independent; unique generated data).</t>
        </is>
      </c>
    </row>
    <row r="58" s="23">
      <c r="A58" s="31" t="inlineStr">
        <is>
          <t>TC-PROD-10</t>
        </is>
      </c>
      <c r="B58" s="32" t="inlineStr">
        <is>
          <t>Product eligibility is validated against client age</t>
        </is>
      </c>
      <c r="C58" s="32" t="inlineStr">
        <is>
          <t>Product &amp; Policy</t>
        </is>
      </c>
      <c r="D58" s="31" t="inlineStr">
        <is>
          <t>UI</t>
        </is>
      </c>
      <c r="E58" s="32" t="inlineStr">
        <is>
          <t>Problem statement 2.2: product eligibility vs age</t>
        </is>
      </c>
      <c r="F58" s="32" t="inlineStr">
        <is>
          <t>QR-05</t>
        </is>
      </c>
      <c r="G58" s="32" t="inlineStr">
        <is>
          <t>Product eligibility not validated against client age</t>
        </is>
      </c>
      <c r="H58" s="32" t="inlineStr">
        <is>
          <t>Product with an age eligibility range visible on detail page (CONFIRM).</t>
        </is>
      </c>
      <c r="I58" s="32" t="inlineStr">
        <is>
          <t>1. Create application with client age outside the product's range.
2. Try to select that product.
3. Repeat with an in-range age.</t>
        </is>
      </c>
      <c r="J58" s="32" t="inlineStr">
        <is>
          <t>Out-of-range and in-range ages</t>
        </is>
      </c>
      <c r="K58" s="32" t="inlineStr">
        <is>
          <t>Out-of-range selection blocked or warned; in-range accepted.
Also verify: the rejected value is not saved (reload or GET shows the previous/empty value).</t>
        </is>
      </c>
      <c r="L58" s="31" t="inlineStr">
        <is>
          <t>High</t>
        </is>
      </c>
      <c r="M58" s="31" t="inlineStr">
        <is>
          <t>P1</t>
        </is>
      </c>
      <c r="N58" s="31" t="n">
        <v>2</v>
      </c>
      <c r="O58" s="32" t="inlineStr">
        <is>
          <t>@regression product</t>
        </is>
      </c>
      <c r="P58" s="32" t="inlineStr">
        <is>
          <t>Screenshots</t>
        </is>
      </c>
      <c r="Q58" s="31" t="inlineStr">
        <is>
          <t xml:space="preserve">Automated</t>
        </is>
      </c>
      <c r="R58" s="32" t="inlineStr">
        <is>
          <t>tests/product-selection/eligibility.spec.ts</t>
        </is>
      </c>
      <c r="S58" s="31" t="inlineStr">
        <is>
          <t xml:space="preserve">Skipped</t>
        </is>
      </c>
      <c r="T58" s="32" t="inlineStr">
        <is>
          <t xml:space="preserve">Skipped: PRODUCT_MIN_AGE / PRODUCT_MAX_AGE not configured (Open Item 17).</t>
        </is>
      </c>
      <c r="U58" s="31" t="inlineStr">
        <is>
          <t>N</t>
        </is>
      </c>
      <c r="V58" s="31" t="inlineStr">
        <is>
          <t>Negative</t>
        </is>
      </c>
      <c r="W58" s="32" t="inlineStr">
        <is>
          <t>-</t>
        </is>
      </c>
      <c r="X58" s="32" t="inlineStr">
        <is>
          <t>Creates its own application via fixture (independent; unique generated data).</t>
        </is>
      </c>
    </row>
    <row r="59" s="23">
      <c r="A59" s="31" t="inlineStr">
        <is>
          <t>TC-PROD-11</t>
        </is>
      </c>
      <c r="B59" s="32" t="inlineStr">
        <is>
          <t>Payment term and policy term options follow product rules</t>
        </is>
      </c>
      <c r="C59" s="32" t="inlineStr">
        <is>
          <t>Product &amp; Policy</t>
        </is>
      </c>
      <c r="D59" s="31" t="inlineStr">
        <is>
          <t>UI</t>
        </is>
      </c>
      <c r="E59" s="32" t="inlineStr">
        <is>
          <t>Spec: payment term / policy term</t>
        </is>
      </c>
      <c r="F59" s="32" t="inlineStr">
        <is>
          <t>QR-05</t>
        </is>
      </c>
      <c r="G59" s="32" t="inlineStr">
        <is>
          <t>Term rules not enforced</t>
        </is>
      </c>
      <c r="H59" s="32" t="inlineStr">
        <is>
          <t>Product selected.</t>
        </is>
      </c>
      <c r="I59" s="32" t="inlineStr">
        <is>
          <t>1. Open payment term dropdown; read options.
2. Select each option and check the dependent policy-term display (Whole Life / to Age 100).
3. Attempt an unsupported combination if the UI allows.</t>
        </is>
      </c>
      <c r="J59" s="32" t="inlineStr">
        <is>
          <t>All payment term options</t>
        </is>
      </c>
      <c r="K59" s="32" t="inlineStr">
        <is>
          <t>Dropdown values match product detail/API; policy term display follows the rule; unsupported combos blocked.</t>
        </is>
      </c>
      <c r="L59" s="31" t="inlineStr">
        <is>
          <t>Medium</t>
        </is>
      </c>
      <c r="M59" s="31" t="inlineStr">
        <is>
          <t>P2</t>
        </is>
      </c>
      <c r="N59" s="31" t="n">
        <v>3</v>
      </c>
      <c r="O59" s="32" t="inlineStr">
        <is>
          <t>@regression product</t>
        </is>
      </c>
      <c r="P59" s="32" t="inlineStr">
        <is>
          <t>Screenshot of options</t>
        </is>
      </c>
      <c r="Q59" s="31" t="inlineStr">
        <is>
          <t xml:space="preserve">Automated</t>
        </is>
      </c>
      <c r="R59" s="32" t="inlineStr">
        <is>
          <t>tests/product-selection/terms.spec.ts</t>
        </is>
      </c>
      <c r="S59" s="31" t="inlineStr">
        <is>
          <t xml:space="preserve">Pass</t>
        </is>
      </c>
      <c r="T59" s="32" t="inlineStr">
        <is>
          <t xml:space="preserve">Run 23-Oct-2026 (chromium, --workers=1): Pass.</t>
        </is>
      </c>
      <c r="U59" s="31" t="inlineStr">
        <is>
          <t>N</t>
        </is>
      </c>
      <c r="V59" s="31" t="inlineStr">
        <is>
          <t>Positive</t>
        </is>
      </c>
      <c r="W59" s="32" t="inlineStr">
        <is>
          <t>-</t>
        </is>
      </c>
      <c r="X59" s="32" t="inlineStr">
        <is>
          <t>Creates its own application via fixture (independent; unique generated data).</t>
        </is>
      </c>
    </row>
    <row r="60" s="23">
      <c r="A60" s="31" t="inlineStr">
        <is>
          <t>TC-PROD-12</t>
        </is>
      </c>
      <c r="B60" s="32" t="inlineStr">
        <is>
          <t>Invalid face value inputs (zero, negative, non-numeric, decimals) are rejected</t>
        </is>
      </c>
      <c r="C60" s="32" t="inlineStr">
        <is>
          <t>Product &amp; Policy</t>
        </is>
      </c>
      <c r="D60" s="31" t="inlineStr">
        <is>
          <t>UI</t>
        </is>
      </c>
      <c r="E60" s="32" t="inlineStr">
        <is>
          <t>Spec: face value boundary validation</t>
        </is>
      </c>
      <c r="F60" s="32" t="inlineStr">
        <is>
          <t>QR-05</t>
        </is>
      </c>
      <c r="G60" s="32" t="inlineStr">
        <is>
          <t>Face value validation gaps</t>
        </is>
      </c>
      <c r="H60" s="32" t="inlineStr">
        <is>
          <t>Product selected.</t>
        </is>
      </c>
      <c r="I60" s="32" t="inlineStr">
        <is>
          <t>1. Enter 0, -1000, 'abc', 100000.55 (if integers only), and blank.
2. Attempt to save.</t>
        </is>
      </c>
      <c r="J60" s="32" t="inlineStr">
        <is>
          <t>0; -1000; 'abc'; 100000.55; blank</t>
        </is>
      </c>
      <c r="K60" s="32" t="inlineStr">
        <is>
          <t>Each value rejected with a face-value error; premium not calculated from invalid input.
Also verify: the rejected value is not saved (reload or GET shows the previous/empty value).</t>
        </is>
      </c>
      <c r="L60" s="31" t="inlineStr">
        <is>
          <t>Medium</t>
        </is>
      </c>
      <c r="M60" s="31" t="inlineStr">
        <is>
          <t>P2</t>
        </is>
      </c>
      <c r="N60" s="31" t="n">
        <v>3</v>
      </c>
      <c r="O60" s="32" t="inlineStr">
        <is>
          <t>@regression product</t>
        </is>
      </c>
      <c r="P60" s="32" t="inlineStr">
        <is>
          <t>Screenshot per value</t>
        </is>
      </c>
      <c r="Q60" s="31" t="inlineStr">
        <is>
          <t xml:space="preserve">Automated</t>
        </is>
      </c>
      <c r="R60" s="32" t="inlineStr">
        <is>
          <t>tests/product-selection/face-value.spec.ts</t>
        </is>
      </c>
      <c r="S60" s="31" t="inlineStr">
        <is>
          <t xml:space="preserve">Pass</t>
        </is>
      </c>
      <c r="T60" s="32" t="inlineStr">
        <is>
          <t xml:space="preserve">Run 23-Oct-2026 (chromium, --workers=1): Pass.</t>
        </is>
      </c>
      <c r="U60" s="31" t="inlineStr">
        <is>
          <t>N</t>
        </is>
      </c>
      <c r="V60" s="31" t="inlineStr">
        <is>
          <t>Boundary</t>
        </is>
      </c>
      <c r="W60" s="32" t="inlineStr">
        <is>
          <t>-</t>
        </is>
      </c>
      <c r="X60" s="32" t="inlineStr">
        <is>
          <t>Creates its own application via fixture (independent; unique generated data).</t>
        </is>
      </c>
    </row>
    <row r="61" s="23">
      <c r="A61" s="31" t="inlineStr">
        <is>
          <t>TC-PROD-13</t>
        </is>
      </c>
      <c r="B61" s="32" t="inlineStr">
        <is>
          <t>Product search/filter in catalog returns correct products</t>
        </is>
      </c>
      <c r="C61" s="32" t="inlineStr">
        <is>
          <t>Product &amp; Policy</t>
        </is>
      </c>
      <c r="D61" s="31" t="inlineStr">
        <is>
          <t>UI</t>
        </is>
      </c>
      <c r="E61" s="32" t="inlineStr">
        <is>
          <t>ProductCatalogPage: product search</t>
        </is>
      </c>
      <c r="F61" s="32" t="inlineStr">
        <is>
          <t>QR-05</t>
        </is>
      </c>
      <c r="G61" s="32" t="inlineStr">
        <is>
          <t>Search returns wrong products</t>
        </is>
      </c>
      <c r="H61" s="32" t="inlineStr">
        <is>
          <t>On /products.</t>
        </is>
      </c>
      <c r="I61" s="32" t="inlineStr">
        <is>
          <t>1. Search for an existing product name.
2. Search for a non-existent term.
3. Clear the search.</t>
        </is>
      </c>
      <c r="J61" s="32" t="inlineStr">
        <is>
          <t>Existing / non-existent term</t>
        </is>
      </c>
      <c r="K61" s="32" t="inlineStr">
        <is>
          <t>Only matching products for 1; empty-result message for 2; full catalog after 3.</t>
        </is>
      </c>
      <c r="L61" s="31" t="inlineStr">
        <is>
          <t>Low</t>
        </is>
      </c>
      <c r="M61" s="31" t="inlineStr">
        <is>
          <t>P3</t>
        </is>
      </c>
      <c r="N61" s="31" t="n">
        <v>3</v>
      </c>
      <c r="O61" s="32" t="inlineStr">
        <is>
          <t>@regression product</t>
        </is>
      </c>
      <c r="P61" s="32" t="inlineStr">
        <is>
          <t>Screenshots</t>
        </is>
      </c>
      <c r="Q61" s="31" t="inlineStr">
        <is>
          <t xml:space="preserve">Automated</t>
        </is>
      </c>
      <c r="R61" s="32" t="inlineStr">
        <is>
          <t>tests/product-selection/catalog.spec.ts</t>
        </is>
      </c>
      <c r="S61" s="31" t="inlineStr">
        <is>
          <t xml:space="preserve">Pass</t>
        </is>
      </c>
      <c r="T61" s="32" t="inlineStr">
        <is>
          <t xml:space="preserve">Run 23-Oct-2026 (chromium, --workers=1): Pass.</t>
        </is>
      </c>
      <c r="U61" s="31" t="inlineStr">
        <is>
          <t>N</t>
        </is>
      </c>
      <c r="V61" s="31" t="inlineStr">
        <is>
          <t>Positive</t>
        </is>
      </c>
      <c r="W61" s="32" t="inlineStr">
        <is>
          <t>-</t>
        </is>
      </c>
      <c r="X61" s="32" t="inlineStr">
        <is>
          <t>Creates its own application via fixture (independent; unique generated data).</t>
        </is>
      </c>
    </row>
    <row r="62" s="23">
      <c r="A62" s="31" t="inlineStr">
        <is>
          <t>TC-PROD-14</t>
        </is>
      </c>
      <c r="B62" s="32" t="inlineStr">
        <is>
          <t>Premium shown in UI equals premium from API (reconciliation)</t>
        </is>
      </c>
      <c r="C62" s="32" t="inlineStr">
        <is>
          <t>Product &amp; Policy</t>
        </is>
      </c>
      <c r="D62" s="31" t="inlineStr">
        <is>
          <t>UI</t>
        </is>
      </c>
      <c r="E62" s="32" t="inlineStr">
        <is>
          <t>Spec: premium UI/API reconciliation</t>
        </is>
      </c>
      <c r="F62" s="32" t="inlineStr">
        <is>
          <t>QR-05, QR-09</t>
        </is>
      </c>
      <c r="G62" s="32" t="inlineStr">
        <is>
          <t>UI and API premium differ</t>
        </is>
      </c>
      <c r="H62" s="32" t="inlineStr">
        <is>
          <t>Configured application; premium exposed by API (CONFIRM field).</t>
        </is>
      </c>
      <c r="I62" s="32" t="inlineStr">
        <is>
          <t>1. Configure face value + frequency.
2. Read UI premium.
3. GET application/product data from API and read premium.
4. Compare for all four frequencies.</t>
        </is>
      </c>
      <c r="J62" s="32" t="inlineStr">
        <is>
          <t>Fixed configuration x 4 frequencies</t>
        </is>
      </c>
      <c r="K62" s="32" t="inlineStr">
        <is>
          <t>UI premium equals API premium for each frequency (same rounding).</t>
        </is>
      </c>
      <c r="L62" s="31" t="inlineStr">
        <is>
          <t>High</t>
        </is>
      </c>
      <c r="M62" s="31" t="inlineStr">
        <is>
          <t>P2</t>
        </is>
      </c>
      <c r="N62" s="31" t="n">
        <v>3</v>
      </c>
      <c r="O62" s="32" t="inlineStr">
        <is>
          <t>@regression product @api</t>
        </is>
      </c>
      <c r="P62" s="32" t="inlineStr">
        <is>
          <t>UI vs API comparison table</t>
        </is>
      </c>
      <c r="Q62" s="31" t="inlineStr">
        <is>
          <t xml:space="preserve">Automated</t>
        </is>
      </c>
      <c r="R62" s="32" t="inlineStr">
        <is>
          <t>tests/product-selection/premium.spec.ts</t>
        </is>
      </c>
      <c r="S62" s="31" t="inlineStr">
        <is>
          <t xml:space="preserve">Skipped</t>
        </is>
      </c>
      <c r="T62" s="32" t="inlineStr">
        <is>
          <t xml:space="preserve">Skipped: needs the premium API; the lab app has no REST API (/api/* returns 404).</t>
        </is>
      </c>
      <c r="U62" s="31" t="inlineStr">
        <is>
          <t>N</t>
        </is>
      </c>
      <c r="V62" s="31" t="inlineStr">
        <is>
          <t>Positive</t>
        </is>
      </c>
      <c r="W62" s="32" t="inlineStr">
        <is>
          <t>-</t>
        </is>
      </c>
      <c r="X62" s="32" t="inlineStr">
        <is>
          <t>Creates its own application via fixture (independent; unique generated data).</t>
        </is>
      </c>
    </row>
    <row r="63" s="23">
      <c r="A63" s="31" t="inlineStr">
        <is>
          <t>TC-RID-01</t>
        </is>
      </c>
      <c r="B63" s="32" t="inlineStr">
        <is>
          <t>Eligible protection rider (ADB) can be added</t>
        </is>
      </c>
      <c r="C63" s="32" t="inlineStr">
        <is>
          <t>Riders</t>
        </is>
      </c>
      <c r="D63" s="31" t="inlineStr">
        <is>
          <t>UI</t>
        </is>
      </c>
      <c r="E63" s="32" t="inlineStr">
        <is>
          <t>RIDER-V01</t>
        </is>
      </c>
      <c r="F63" s="32" t="inlineStr">
        <is>
          <t>QR-06</t>
        </is>
      </c>
      <c r="G63" s="32" t="inlineStr">
        <is>
          <t>Rider add fails</t>
        </is>
      </c>
      <c r="H63" s="32" t="inlineStr">
        <is>
          <t>Application at Riders step; client age eligible.</t>
        </is>
      </c>
      <c r="I63" s="32" t="inlineStr">
        <is>
          <t>1. Select the ADB rider.
2. Check premium summary.</t>
        </is>
      </c>
      <c r="J63" s="32" t="inlineStr">
        <is>
          <t>Eligible client age 40</t>
        </is>
      </c>
      <c r="K63" s="32" t="inlineStr">
        <is>
          <t>Rider appears in premium summary.</t>
        </is>
      </c>
      <c r="L63" s="31" t="inlineStr">
        <is>
          <t>High</t>
        </is>
      </c>
      <c r="M63" s="31" t="inlineStr">
        <is>
          <t>P1</t>
        </is>
      </c>
      <c r="N63" s="31" t="n">
        <v>1</v>
      </c>
      <c r="O63" s="32" t="inlineStr">
        <is>
          <t>@smoke @regression rider</t>
        </is>
      </c>
      <c r="P63" s="32" t="inlineStr">
        <is>
          <t>Screenshot of premium summary</t>
        </is>
      </c>
      <c r="Q63" s="31" t="inlineStr">
        <is>
          <t xml:space="preserve">Automated</t>
        </is>
      </c>
      <c r="R63" s="32" t="inlineStr">
        <is>
          <t>tests/riders/riders.spec.ts</t>
        </is>
      </c>
      <c r="S63" s="31" t="inlineStr">
        <is>
          <t xml:space="preserve">Skipped</t>
        </is>
      </c>
      <c r="T63" s="32" t="inlineStr">
        <is>
          <t xml:space="preserve">APP GAP - automated, reported as fixme: riders page shows only "Current rider premium", no itemized rider summary. Requirement kept as designed.</t>
        </is>
      </c>
      <c r="U63" s="31" t="inlineStr">
        <is>
          <t>Y</t>
        </is>
      </c>
      <c r="V63" s="31" t="inlineStr">
        <is>
          <t>Positive</t>
        </is>
      </c>
      <c r="W63" s="32" t="inlineStr">
        <is>
          <t>-</t>
        </is>
      </c>
      <c r="X63" s="32" t="inlineStr">
        <is>
          <t>Creates its own application via fixture (independent; unique generated data).</t>
        </is>
      </c>
    </row>
    <row r="64" s="23">
      <c r="A64" s="31" t="inlineStr">
        <is>
          <t>TC-RID-02</t>
        </is>
      </c>
      <c r="B64" s="32" t="inlineStr">
        <is>
          <t>Rider coverage cannot exceed base face value</t>
        </is>
      </c>
      <c r="C64" s="32" t="inlineStr">
        <is>
          <t>Riders</t>
        </is>
      </c>
      <c r="D64" s="31" t="inlineStr">
        <is>
          <t>UI</t>
        </is>
      </c>
      <c r="E64" s="32" t="inlineStr">
        <is>
          <t>RIDER-V02</t>
        </is>
      </c>
      <c r="F64" s="32" t="inlineStr">
        <is>
          <t>QR-06</t>
        </is>
      </c>
      <c r="G64" s="32" t="inlineStr">
        <is>
          <t xml:space="preserve">DEF-RIDER-002 - Coverage exceeds base</t>
        </is>
      </c>
      <c r="H64" s="32" t="inlineStr">
        <is>
          <t>Face value set (e.g. 100000).</t>
        </is>
      </c>
      <c r="I64" s="32" t="inlineStr">
        <is>
          <t>1. Select rider with editable coverage.
2. Enter coverage = face value + 1.
3. Enter coverage = face value.</t>
        </is>
      </c>
      <c r="J64" s="32" t="inlineStr">
        <is>
          <t>Coverage FV+1 and FV</t>
        </is>
      </c>
      <c r="K64" s="32" t="inlineStr">
        <is>
          <t>FV+1 rejected with validation; FV accepted.
Also verify: the rejected value is not saved (reload or GET shows the previous/empty value).</t>
        </is>
      </c>
      <c r="L64" s="31" t="inlineStr">
        <is>
          <t>High</t>
        </is>
      </c>
      <c r="M64" s="31" t="inlineStr">
        <is>
          <t>P1</t>
        </is>
      </c>
      <c r="N64" s="31" t="n">
        <v>2</v>
      </c>
      <c r="O64" s="32" t="inlineStr">
        <is>
          <t>@regression rider</t>
        </is>
      </c>
      <c r="P64" s="32" t="inlineStr">
        <is>
          <t>Screenshots</t>
        </is>
      </c>
      <c r="Q64" s="31" t="inlineStr">
        <is>
          <t xml:space="preserve">Automated</t>
        </is>
      </c>
      <c r="R64" s="32" t="inlineStr">
        <is>
          <t>tests/riders/riders.spec.ts</t>
        </is>
      </c>
      <c r="S64" s="31" t="inlineStr">
        <is>
          <t xml:space="preserve">Fail</t>
        </is>
      </c>
      <c r="T64" s="32" t="inlineStr">
        <is>
          <t xml:space="preserve">FAIL BY DESIGN - seeded defect DEF-RIDER-002 (Coverage exceeds base): rider coverage above the base face value is saved. Run 23-Oct-2026 (chromium, --workers=1).</t>
        </is>
      </c>
      <c r="U64" s="31" t="inlineStr">
        <is>
          <t>Y</t>
        </is>
      </c>
      <c r="V64" s="31" t="inlineStr">
        <is>
          <t>Boundary</t>
        </is>
      </c>
      <c r="W64" s="32" t="inlineStr">
        <is>
          <t>-</t>
        </is>
      </c>
      <c r="X64" s="32" t="inlineStr">
        <is>
          <t>Creates its own application via fixture (independent; unique generated data).</t>
        </is>
      </c>
    </row>
    <row r="65" s="23">
      <c r="A65" s="31" t="inlineStr">
        <is>
          <t>TC-RID-03</t>
        </is>
      </c>
      <c r="B65" s="32" t="inlineStr">
        <is>
          <t>Age-ineligible rider cannot be added</t>
        </is>
      </c>
      <c r="C65" s="32" t="inlineStr">
        <is>
          <t>Riders</t>
        </is>
      </c>
      <c r="D65" s="31" t="inlineStr">
        <is>
          <t>UI</t>
        </is>
      </c>
      <c r="E65" s="32" t="inlineStr">
        <is>
          <t>RIDER-V03</t>
        </is>
      </c>
      <c r="F65" s="32" t="inlineStr">
        <is>
          <t>QR-06</t>
        </is>
      </c>
      <c r="G65" s="32" t="inlineStr">
        <is>
          <t>Age-ineligible rider added</t>
        </is>
      </c>
      <c r="H65" s="32" t="inlineStr">
        <is>
          <t>Client age outside rider's allowed range (CONFIRM limits).</t>
        </is>
      </c>
      <c r="I65" s="32" t="inlineStr">
        <is>
          <t>1. Reach Riders step with out-of-range age client.
2. Try to select rider.</t>
        </is>
      </c>
      <c r="J65" s="32" t="inlineStr">
        <is>
          <t>Client near upper age limit</t>
        </is>
      </c>
      <c r="K65" s="32" t="inlineStr">
        <is>
          <t>Rider disabled or error shown; not added to summary.
Also verify: the rejected value is not saved (reload or GET shows the previous/empty value).</t>
        </is>
      </c>
      <c r="L65" s="31" t="inlineStr">
        <is>
          <t>High</t>
        </is>
      </c>
      <c r="M65" s="31" t="inlineStr">
        <is>
          <t>P2</t>
        </is>
      </c>
      <c r="N65" s="31" t="n">
        <v>3</v>
      </c>
      <c r="O65" s="32" t="inlineStr">
        <is>
          <t>@regression rider</t>
        </is>
      </c>
      <c r="P65" s="32" t="inlineStr">
        <is>
          <t>Screenshot</t>
        </is>
      </c>
      <c r="Q65" s="31" t="inlineStr">
        <is>
          <t xml:space="preserve">Automated</t>
        </is>
      </c>
      <c r="R65" s="32" t="inlineStr">
        <is>
          <t>tests/riders/riders.spec.ts</t>
        </is>
      </c>
      <c r="S65" s="31" t="inlineStr">
        <is>
          <t xml:space="preserve">Skipped</t>
        </is>
      </c>
      <c r="T65" s="32" t="inlineStr">
        <is>
          <t xml:space="preserve">APP GAP - automated, reported as fixme: no age-eligibility rule for riders. Requirement kept as designed.</t>
        </is>
      </c>
      <c r="U65" s="31" t="inlineStr">
        <is>
          <t>N</t>
        </is>
      </c>
      <c r="V65" s="31" t="inlineStr">
        <is>
          <t>Negative</t>
        </is>
      </c>
      <c r="W65" s="32" t="inlineStr">
        <is>
          <t>-</t>
        </is>
      </c>
      <c r="X65" s="32" t="inlineStr">
        <is>
          <t>Creates its own application via fixture (independent; unique generated data).</t>
        </is>
      </c>
    </row>
    <row r="66" s="23">
      <c r="A66" s="31" t="inlineStr">
        <is>
          <t>TC-RID-04</t>
        </is>
      </c>
      <c r="B66" s="32" t="inlineStr">
        <is>
          <t>Maximum rider count is enforced</t>
        </is>
      </c>
      <c r="C66" s="32" t="inlineStr">
        <is>
          <t>Riders</t>
        </is>
      </c>
      <c r="D66" s="31" t="inlineStr">
        <is>
          <t>UI</t>
        </is>
      </c>
      <c r="E66" s="32" t="inlineStr">
        <is>
          <t>RIDER-V04</t>
        </is>
      </c>
      <c r="F66" s="32" t="inlineStr">
        <is>
          <t>QR-06</t>
        </is>
      </c>
      <c r="G66" s="32" t="inlineStr">
        <is>
          <t>Max rider count ignored</t>
        </is>
      </c>
      <c r="H66" s="32" t="inlineStr">
        <is>
          <t>Max count known (CONFIRM).</t>
        </is>
      </c>
      <c r="I66" s="32" t="inlineStr">
        <is>
          <t>1. Add riders until max.
2. Try to add one more.</t>
        </is>
      </c>
      <c r="J66" s="32" t="inlineStr">
        <is>
          <t>Riders list</t>
        </is>
      </c>
      <c r="K66" s="32" t="inlineStr">
        <is>
          <t>Blocking message shown; extra rider not added.
Also verify: the rejected value is not saved (reload or GET shows the previous/empty value).</t>
        </is>
      </c>
      <c r="L66" s="31" t="inlineStr">
        <is>
          <t>High</t>
        </is>
      </c>
      <c r="M66" s="31" t="inlineStr">
        <is>
          <t>P2</t>
        </is>
      </c>
      <c r="N66" s="31" t="n">
        <v>3</v>
      </c>
      <c r="O66" s="32" t="inlineStr">
        <is>
          <t>@regression rider</t>
        </is>
      </c>
      <c r="P66" s="32" t="inlineStr">
        <is>
          <t>Screenshot of block message</t>
        </is>
      </c>
      <c r="Q66" s="31" t="inlineStr">
        <is>
          <t xml:space="preserve">Automated</t>
        </is>
      </c>
      <c r="R66" s="32" t="inlineStr">
        <is>
          <t>tests/riders/riders.spec.ts</t>
        </is>
      </c>
      <c r="S66" s="31" t="inlineStr">
        <is>
          <t xml:space="preserve">Skipped</t>
        </is>
      </c>
      <c r="T66" s="32" t="inlineStr">
        <is>
          <t xml:space="preserve">Skipped: the app offers no more riders than MAX_RIDERS, so the limit cannot be exceeded.</t>
        </is>
      </c>
      <c r="U66" s="31" t="inlineStr">
        <is>
          <t>N</t>
        </is>
      </c>
      <c r="V66" s="31" t="inlineStr">
        <is>
          <t>Negative</t>
        </is>
      </c>
      <c r="W66" s="32" t="inlineStr">
        <is>
          <t>-</t>
        </is>
      </c>
      <c r="X66" s="32" t="inlineStr">
        <is>
          <t>Creates its own application via fixture (independent; unique generated data).</t>
        </is>
      </c>
    </row>
    <row r="67" s="23">
      <c r="A67" s="31" t="inlineStr">
        <is>
          <t>TC-RID-05</t>
        </is>
      </c>
      <c r="B67" s="32" t="inlineStr">
        <is>
          <t>Mutually exclusive waiver riders cannot both be selected</t>
        </is>
      </c>
      <c r="C67" s="32" t="inlineStr">
        <is>
          <t>Riders</t>
        </is>
      </c>
      <c r="D67" s="31" t="inlineStr">
        <is>
          <t>UI</t>
        </is>
      </c>
      <c r="E67" s="32" t="inlineStr">
        <is>
          <t>RIDER-V05</t>
        </is>
      </c>
      <c r="F67" s="32" t="inlineStr">
        <is>
          <t>QR-06</t>
        </is>
      </c>
      <c r="G67" s="32" t="inlineStr">
        <is>
          <t xml:space="preserve">DEF-RIDER-001 - Mutually exclusive riders allowed</t>
        </is>
      </c>
      <c r="H67" s="32" t="inlineStr">
        <is>
          <t>Two waiver riders exist.</t>
        </is>
      </c>
      <c r="I67" s="32" t="inlineStr">
        <is>
          <t>1. Select waiver rider A.
2. Try to select waiver rider B.</t>
        </is>
      </c>
      <c r="J67" s="32" t="inlineStr">
        <is>
          <t>Waiver riders</t>
        </is>
      </c>
      <c r="K67" s="32" t="inlineStr">
        <is>
          <t>Waiver B disabled or blocked while A selected.
Also verify: the rejected value is not saved (reload or GET shows the previous/empty value).</t>
        </is>
      </c>
      <c r="L67" s="31" t="inlineStr">
        <is>
          <t>High</t>
        </is>
      </c>
      <c r="M67" s="31" t="inlineStr">
        <is>
          <t>P1</t>
        </is>
      </c>
      <c r="N67" s="31" t="n">
        <v>2</v>
      </c>
      <c r="O67" s="32" t="inlineStr">
        <is>
          <t>@regression rider</t>
        </is>
      </c>
      <c r="P67" s="32" t="inlineStr">
        <is>
          <t>Screenshot</t>
        </is>
      </c>
      <c r="Q67" s="31" t="inlineStr">
        <is>
          <t xml:space="preserve">Automated</t>
        </is>
      </c>
      <c r="R67" s="32" t="inlineStr">
        <is>
          <t>tests/riders/riders.spec.ts</t>
        </is>
      </c>
      <c r="S67" s="31" t="inlineStr">
        <is>
          <t xml:space="preserve">Fail</t>
        </is>
      </c>
      <c r="T67" s="32" t="inlineStr">
        <is>
          <t xml:space="preserve">FAIL BY DESIGN - seeded defect DEF-RIDER-001 (Mutually exclusive riders allowed): both mutually exclusive waiver riders can be selected. Run 23-Oct-2026 (chromium, --workers=1).</t>
        </is>
      </c>
      <c r="U67" s="31" t="inlineStr">
        <is>
          <t>Y</t>
        </is>
      </c>
      <c r="V67" s="31" t="inlineStr">
        <is>
          <t>Negative</t>
        </is>
      </c>
      <c r="W67" s="32" t="inlineStr">
        <is>
          <t>-</t>
        </is>
      </c>
      <c r="X67" s="32" t="inlineStr">
        <is>
          <t>Creates its own application via fixture (independent; unique generated data).</t>
        </is>
      </c>
    </row>
    <row r="68" s="23">
      <c r="A68" s="31" t="inlineStr">
        <is>
          <t>TC-RID-06</t>
        </is>
      </c>
      <c r="B68" s="32" t="inlineStr">
        <is>
          <t>Critical illness rider triggers health questionnaire</t>
        </is>
      </c>
      <c r="C68" s="32" t="inlineStr">
        <is>
          <t>Riders</t>
        </is>
      </c>
      <c r="D68" s="31" t="inlineStr">
        <is>
          <t>UI</t>
        </is>
      </c>
      <c r="E68" s="32" t="inlineStr">
        <is>
          <t>RIDER-V06</t>
        </is>
      </c>
      <c r="F68" s="32" t="inlineStr">
        <is>
          <t>QR-06</t>
        </is>
      </c>
      <c r="G68" s="32" t="inlineStr">
        <is>
          <t>CI questionnaire missing</t>
        </is>
      </c>
      <c r="H68" s="32" t="inlineStr">
        <is>
          <t>CI rider available to client.</t>
        </is>
      </c>
      <c r="I68" s="32" t="inlineStr">
        <is>
          <t>1. Select Critical Illness rider.</t>
        </is>
      </c>
      <c r="J68" s="32" t="inlineStr">
        <is>
          <t>CI rider</t>
        </is>
      </c>
      <c r="K68" s="32" t="inlineStr">
        <is>
          <t>Health questionnaire section appears and is required.</t>
        </is>
      </c>
      <c r="L68" s="31" t="inlineStr">
        <is>
          <t>Medium</t>
        </is>
      </c>
      <c r="M68" s="31" t="inlineStr">
        <is>
          <t>P2</t>
        </is>
      </c>
      <c r="N68" s="31" t="n">
        <v>2</v>
      </c>
      <c r="O68" s="32" t="inlineStr">
        <is>
          <t>@regression rider</t>
        </is>
      </c>
      <c r="P68" s="32" t="inlineStr">
        <is>
          <t>Screenshot of questionnaire</t>
        </is>
      </c>
      <c r="Q68" s="31" t="inlineStr">
        <is>
          <t xml:space="preserve">Automated</t>
        </is>
      </c>
      <c r="R68" s="32" t="inlineStr">
        <is>
          <t>tests/riders/riders.spec.ts</t>
        </is>
      </c>
      <c r="S68" s="31" t="inlineStr">
        <is>
          <t xml:space="preserve">Skipped</t>
        </is>
      </c>
      <c r="T68" s="32" t="inlineStr">
        <is>
          <t xml:space="preserve">APP GAP - automated, reported as fixme: no health questionnaire for the critical illness rider. Requirement kept as designed.</t>
        </is>
      </c>
      <c r="U68" s="31" t="inlineStr">
        <is>
          <t>N</t>
        </is>
      </c>
      <c r="V68" s="31" t="inlineStr">
        <is>
          <t>Positive</t>
        </is>
      </c>
      <c r="W68" s="32" t="inlineStr">
        <is>
          <t>-</t>
        </is>
      </c>
      <c r="X68" s="32" t="inlineStr">
        <is>
          <t>Creates its own application via fixture (independent; unique generated data).</t>
        </is>
      </c>
    </row>
    <row r="69" s="23">
      <c r="A69" s="31" t="inlineStr">
        <is>
          <t>TC-RID-07</t>
        </is>
      </c>
      <c r="B69" s="32" t="inlineStr">
        <is>
          <t>Rider premium is itemized and total updates</t>
        </is>
      </c>
      <c r="C69" s="32" t="inlineStr">
        <is>
          <t>Riders</t>
        </is>
      </c>
      <c r="D69" s="31" t="inlineStr">
        <is>
          <t>UI</t>
        </is>
      </c>
      <c r="E69" s="32" t="inlineStr">
        <is>
          <t>RIDER-V07</t>
        </is>
      </c>
      <c r="F69" s="32" t="inlineStr">
        <is>
          <t>QR-06, QR-05</t>
        </is>
      </c>
      <c r="G69" s="32" t="inlineStr">
        <is>
          <t>Premium not itemized</t>
        </is>
      </c>
      <c r="H69" s="32" t="inlineStr">
        <is>
          <t>Base premium known.</t>
        </is>
      </c>
      <c r="I69" s="32" t="inlineStr">
        <is>
          <t>1. Note base premium.
2. Add a rider.
3. Read itemized lines and total.</t>
        </is>
      </c>
      <c r="J69" s="32" t="inlineStr">
        <is>
          <t>ADB rider</t>
        </is>
      </c>
      <c r="K69" s="32" t="inlineStr">
        <is>
          <t>Rider line item displayed; total = base + rider premium.</t>
        </is>
      </c>
      <c r="L69" s="31" t="inlineStr">
        <is>
          <t>High</t>
        </is>
      </c>
      <c r="M69" s="31" t="inlineStr">
        <is>
          <t>P1</t>
        </is>
      </c>
      <c r="N69" s="31" t="n">
        <v>2</v>
      </c>
      <c r="O69" s="32" t="inlineStr">
        <is>
          <t>@regression rider</t>
        </is>
      </c>
      <c r="P69" s="32" t="inlineStr">
        <is>
          <t>Screenshot of itemization</t>
        </is>
      </c>
      <c r="Q69" s="31" t="inlineStr">
        <is>
          <t xml:space="preserve">Automated</t>
        </is>
      </c>
      <c r="R69" s="32" t="inlineStr">
        <is>
          <t>tests/riders/riders.spec.ts</t>
        </is>
      </c>
      <c r="S69" s="31" t="inlineStr">
        <is>
          <t xml:space="preserve">Pass</t>
        </is>
      </c>
      <c r="T69" s="32" t="inlineStr">
        <is>
          <t xml:space="preserve">Run 23-Oct-2026 (chromium, --workers=1): Pass.</t>
        </is>
      </c>
      <c r="U69" s="31" t="inlineStr">
        <is>
          <t>N</t>
        </is>
      </c>
      <c r="V69" s="31" t="inlineStr">
        <is>
          <t>Positive</t>
        </is>
      </c>
      <c r="W69" s="32" t="inlineStr">
        <is>
          <t>-</t>
        </is>
      </c>
      <c r="X69" s="32" t="inlineStr">
        <is>
          <t>Creates its own application via fixture (independent; unique generated data).</t>
        </is>
      </c>
    </row>
    <row r="70" s="23">
      <c r="A70" s="31" t="inlineStr">
        <is>
          <t>TC-RID-08</t>
        </is>
      </c>
      <c r="B70" s="32" t="inlineStr">
        <is>
          <t>Rider dependency rules are enforced</t>
        </is>
      </c>
      <c r="C70" s="32" t="inlineStr">
        <is>
          <t>Riders</t>
        </is>
      </c>
      <c r="D70" s="31" t="inlineStr">
        <is>
          <t>UI</t>
        </is>
      </c>
      <c r="E70" s="32" t="inlineStr">
        <is>
          <t>Spec: rider dependency rules</t>
        </is>
      </c>
      <c r="F70" s="32" t="inlineStr">
        <is>
          <t>QR-06</t>
        </is>
      </c>
      <c r="G70" s="32" t="inlineStr">
        <is>
          <t>Dependency rule bypass</t>
        </is>
      </c>
      <c r="H70" s="32" t="inlineStr">
        <is>
          <t>Rider with a dependency (e.g. requires another rider or minimum face value) exists (CONFIRM).</t>
        </is>
      </c>
      <c r="I70" s="32" t="inlineStr">
        <is>
          <t>1. Select the dependent rider without its prerequisite.
2. Add the prerequisite and select again.</t>
        </is>
      </c>
      <c r="J70" s="32" t="inlineStr">
        <is>
          <t>Dependent rider pair</t>
        </is>
      </c>
      <c r="K70" s="32" t="inlineStr">
        <is>
          <t>Blocked or flagged without prerequisite; allowed with it.
Also verify: the rejected value is not saved (reload or GET shows the previous/empty value).</t>
        </is>
      </c>
      <c r="L70" s="31" t="inlineStr">
        <is>
          <t>High</t>
        </is>
      </c>
      <c r="M70" s="31" t="inlineStr">
        <is>
          <t>P2</t>
        </is>
      </c>
      <c r="N70" s="31" t="n">
        <v>3</v>
      </c>
      <c r="O70" s="32" t="inlineStr">
        <is>
          <t>@regression rider</t>
        </is>
      </c>
      <c r="P70" s="32" t="inlineStr">
        <is>
          <t>Screenshots</t>
        </is>
      </c>
      <c r="Q70" s="31" t="inlineStr">
        <is>
          <t xml:space="preserve">Automated</t>
        </is>
      </c>
      <c r="R70" s="32" t="inlineStr">
        <is>
          <t>tests/riders/riders.spec.ts</t>
        </is>
      </c>
      <c r="S70" s="31" t="inlineStr">
        <is>
          <t xml:space="preserve">Skipped</t>
        </is>
      </c>
      <c r="T70" s="32" t="inlineStr">
        <is>
          <t xml:space="preserve">Skipped: RIDER_DEPENDENT / RIDER_PREREQUISITE not configured (Open Item 18).</t>
        </is>
      </c>
      <c r="U70" s="31" t="inlineStr">
        <is>
          <t>N</t>
        </is>
      </c>
      <c r="V70" s="31" t="inlineStr">
        <is>
          <t>Negative</t>
        </is>
      </c>
      <c r="W70" s="32" t="inlineStr">
        <is>
          <t>-</t>
        </is>
      </c>
      <c r="X70" s="32" t="inlineStr">
        <is>
          <t>Creates its own application via fixture (independent; unique generated data).</t>
        </is>
      </c>
    </row>
    <row r="71" s="23">
      <c r="A71" s="31" t="inlineStr">
        <is>
          <t>TC-RID-09</t>
        </is>
      </c>
      <c r="B71" s="32" t="inlineStr">
        <is>
          <t>Removing a rider updates premium itemization and total</t>
        </is>
      </c>
      <c r="C71" s="32" t="inlineStr">
        <is>
          <t>Riders</t>
        </is>
      </c>
      <c r="D71" s="31" t="inlineStr">
        <is>
          <t>UI</t>
        </is>
      </c>
      <c r="E71" s="32" t="inlineStr">
        <is>
          <t>Spec: premium itemization</t>
        </is>
      </c>
      <c r="F71" s="32" t="inlineStr">
        <is>
          <t>QR-06, QR-05</t>
        </is>
      </c>
      <c r="G71" s="32" t="inlineStr">
        <is>
          <t>Premium not updated after rider removal</t>
        </is>
      </c>
      <c r="H71" s="32" t="inlineStr">
        <is>
          <t>Application with one rider added.</t>
        </is>
      </c>
      <c r="I71" s="32" t="inlineStr">
        <is>
          <t>1. Note total premium with rider.
2. Remove the rider.
3. Read itemization and total.
4. Open review page.</t>
        </is>
      </c>
      <c r="J71" s="32" t="inlineStr">
        <is>
          <t>ADB rider</t>
        </is>
      </c>
      <c r="K71" s="32" t="inlineStr">
        <is>
          <t>Rider line removed; total returns to base premium; review page matches.</t>
        </is>
      </c>
      <c r="L71" s="31" t="inlineStr">
        <is>
          <t>High</t>
        </is>
      </c>
      <c r="M71" s="31" t="inlineStr">
        <is>
          <t>P2</t>
        </is>
      </c>
      <c r="N71" s="31" t="n">
        <v>3</v>
      </c>
      <c r="O71" s="32" t="inlineStr">
        <is>
          <t>@regression rider</t>
        </is>
      </c>
      <c r="P71" s="32" t="inlineStr">
        <is>
          <t>Screenshots</t>
        </is>
      </c>
      <c r="Q71" s="31" t="inlineStr">
        <is>
          <t xml:space="preserve">Automated</t>
        </is>
      </c>
      <c r="R71" s="32" t="inlineStr">
        <is>
          <t>tests/riders/riders.spec.ts</t>
        </is>
      </c>
      <c r="S71" s="31" t="inlineStr">
        <is>
          <t xml:space="preserve">Pass</t>
        </is>
      </c>
      <c r="T71" s="32" t="inlineStr">
        <is>
          <t xml:space="preserve">Run 23-Oct-2026 (chromium, --workers=1): Pass.</t>
        </is>
      </c>
      <c r="U71" s="31" t="inlineStr">
        <is>
          <t>N</t>
        </is>
      </c>
      <c r="V71" s="31" t="inlineStr">
        <is>
          <t>Positive</t>
        </is>
      </c>
      <c r="W71" s="32" t="inlineStr">
        <is>
          <t>-</t>
        </is>
      </c>
      <c r="X71" s="32" t="inlineStr">
        <is>
          <t>Creates its own application via fixture (independent; unique generated data).</t>
        </is>
      </c>
    </row>
    <row r="72" s="23">
      <c r="A72" s="31" t="inlineStr">
        <is>
          <t>TC-BEN-01</t>
        </is>
      </c>
      <c r="B72" s="32" t="inlineStr">
        <is>
          <t>Add a valid primary beneficiary</t>
        </is>
      </c>
      <c r="C72" s="32" t="inlineStr">
        <is>
          <t>Beneficiaries</t>
        </is>
      </c>
      <c r="D72" s="31" t="inlineStr">
        <is>
          <t>UI</t>
        </is>
      </c>
      <c r="E72" s="32" t="inlineStr">
        <is>
          <t>BEN-V01</t>
        </is>
      </c>
      <c r="F72" s="32" t="inlineStr">
        <is>
          <t>QR-07</t>
        </is>
      </c>
      <c r="G72" s="32" t="inlineStr">
        <is>
          <t>Beneficiary cannot be added</t>
        </is>
      </c>
      <c r="H72" s="32" t="inlineStr">
        <is>
          <t>Application at Beneficiaries step.</t>
        </is>
      </c>
      <c r="I72" s="32" t="inlineStr">
        <is>
          <t>1. Fill valid individual beneficiary details with 100%.
2. Save.</t>
        </is>
      </c>
      <c r="J72" s="32" t="inlineStr">
        <is>
          <t>Generated adult beneficiary</t>
        </is>
      </c>
      <c r="K72" s="32" t="inlineStr">
        <is>
          <t>Beneficiary card/row appears; running total 100%.</t>
        </is>
      </c>
      <c r="L72" s="31" t="inlineStr">
        <is>
          <t>High</t>
        </is>
      </c>
      <c r="M72" s="31" t="inlineStr">
        <is>
          <t>P1</t>
        </is>
      </c>
      <c r="N72" s="31" t="n">
        <v>1</v>
      </c>
      <c r="O72" s="32" t="inlineStr">
        <is>
          <t>@smoke @regression beneficiary</t>
        </is>
      </c>
      <c r="P72" s="32" t="inlineStr">
        <is>
          <t>Screenshot</t>
        </is>
      </c>
      <c r="Q72" s="31" t="inlineStr">
        <is>
          <t xml:space="preserve">Automated</t>
        </is>
      </c>
      <c r="R72" s="32" t="inlineStr">
        <is>
          <t>tests/beneficiaries/beneficiaries.spec.ts</t>
        </is>
      </c>
      <c r="S72" s="31" t="inlineStr">
        <is>
          <t xml:space="preserve">Pass</t>
        </is>
      </c>
      <c r="T72" s="32" t="inlineStr">
        <is>
          <t xml:space="preserve">Run 23-Oct-2026 (chromium, --workers=1): Pass.</t>
        </is>
      </c>
      <c r="U72" s="31" t="inlineStr">
        <is>
          <t>Y</t>
        </is>
      </c>
      <c r="V72" s="31" t="inlineStr">
        <is>
          <t>Positive</t>
        </is>
      </c>
      <c r="W72" s="32" t="inlineStr">
        <is>
          <t>-</t>
        </is>
      </c>
      <c r="X72" s="32" t="inlineStr">
        <is>
          <t>Creates its own application via fixture (independent; unique generated data).</t>
        </is>
      </c>
    </row>
    <row r="73" s="23">
      <c r="A73" s="31" t="inlineStr">
        <is>
          <t>TC-BEN-02</t>
        </is>
      </c>
      <c r="B73" s="32" t="inlineStr">
        <is>
          <t>Primary allocation below 100% blocks progression</t>
        </is>
      </c>
      <c r="C73" s="32" t="inlineStr">
        <is>
          <t>Beneficiaries</t>
        </is>
      </c>
      <c r="D73" s="31" t="inlineStr">
        <is>
          <t>UI</t>
        </is>
      </c>
      <c r="E73" s="32" t="inlineStr">
        <is>
          <t>BEN-V02</t>
        </is>
      </c>
      <c r="F73" s="32" t="inlineStr">
        <is>
          <t>QR-07</t>
        </is>
      </c>
      <c r="G73" s="32" t="inlineStr">
        <is>
          <t xml:space="preserve">DEF-BEN-001 - Primary allocation mismatch allowed</t>
        </is>
      </c>
      <c r="H73" s="32" t="inlineStr">
        <is>
          <t>One primary beneficiary.</t>
        </is>
      </c>
      <c r="I73" s="32" t="inlineStr">
        <is>
          <t>1. Set primary total to 99%.
2. Proceed.</t>
        </is>
      </c>
      <c r="J73" s="32" t="inlineStr">
        <is>
          <t>99%</t>
        </is>
      </c>
      <c r="K73" s="32" t="inlineStr">
        <is>
          <t>Error shown; progression blocked.
Also verify: the rejected value is not saved (reload or GET shows the previous/empty value).</t>
        </is>
      </c>
      <c r="L73" s="31" t="inlineStr">
        <is>
          <t>Critical</t>
        </is>
      </c>
      <c r="M73" s="31" t="inlineStr">
        <is>
          <t>P1</t>
        </is>
      </c>
      <c r="N73" s="31" t="n">
        <v>2</v>
      </c>
      <c r="O73" s="32" t="inlineStr">
        <is>
          <t>@regression beneficiary</t>
        </is>
      </c>
      <c r="P73" s="32" t="inlineStr">
        <is>
          <t>Screenshot</t>
        </is>
      </c>
      <c r="Q73" s="31" t="inlineStr">
        <is>
          <t xml:space="preserve">Automated</t>
        </is>
      </c>
      <c r="R73" s="32" t="inlineStr">
        <is>
          <t>tests/beneficiaries/allocation.spec.ts</t>
        </is>
      </c>
      <c r="S73" s="31" t="inlineStr">
        <is>
          <t xml:space="preserve">Fail</t>
        </is>
      </c>
      <c r="T73" s="32" t="inlineStr">
        <is>
          <t xml:space="preserve">FAIL BY DESIGN - seeded defect DEF-BEN-001 (Primary allocation mismatch allowed): 99% primary allocation still moves on to Documents. Run 23-Oct-2026 (chromium, --workers=1).</t>
        </is>
      </c>
      <c r="U73" s="31" t="inlineStr">
        <is>
          <t>Y</t>
        </is>
      </c>
      <c r="V73" s="31" t="inlineStr">
        <is>
          <t>Boundary</t>
        </is>
      </c>
      <c r="W73" s="32" t="inlineStr">
        <is>
          <t>API: POST /validate returns allocation error</t>
        </is>
      </c>
      <c r="X73" s="32" t="inlineStr">
        <is>
          <t>Creates its own application via fixture (independent; unique generated data).</t>
        </is>
      </c>
    </row>
    <row r="74" s="23">
      <c r="A74" s="31" t="inlineStr">
        <is>
          <t>TC-BEN-03</t>
        </is>
      </c>
      <c r="B74" s="32" t="inlineStr">
        <is>
          <t>Primary allocation above 100% blocks progression</t>
        </is>
      </c>
      <c r="C74" s="32" t="inlineStr">
        <is>
          <t>Beneficiaries</t>
        </is>
      </c>
      <c r="D74" s="31" t="inlineStr">
        <is>
          <t>UI</t>
        </is>
      </c>
      <c r="E74" s="32" t="inlineStr">
        <is>
          <t>BEN-V03</t>
        </is>
      </c>
      <c r="F74" s="32" t="inlineStr">
        <is>
          <t>QR-07</t>
        </is>
      </c>
      <c r="G74" s="32" t="inlineStr">
        <is>
          <t>Allocation not 100% accepted</t>
        </is>
      </c>
      <c r="H74" s="32" t="inlineStr">
        <is>
          <t>Primary beneficiaries present.</t>
        </is>
      </c>
      <c r="I74" s="32" t="inlineStr">
        <is>
          <t xml:space="preserve">1. Add a primary beneficiary at 60%.
2. Add a second primary beneficiary at 41% and save.</t>
        </is>
      </c>
      <c r="J74" s="32" t="inlineStr">
        <is>
          <t xml:space="preserve">60% + 41%</t>
        </is>
      </c>
      <c r="K74" s="32" t="inlineStr">
        <is>
          <t xml:space="preserve">The app blocks the save with an alert that the allocation would exceed 100%; the second beneficiary is not saved; running total stays 60% with one row.</t>
        </is>
      </c>
      <c r="L74" s="31" t="inlineStr">
        <is>
          <t>Critical</t>
        </is>
      </c>
      <c r="M74" s="31" t="inlineStr">
        <is>
          <t>P1</t>
        </is>
      </c>
      <c r="N74" s="31" t="n">
        <v>2</v>
      </c>
      <c r="O74" s="32" t="inlineStr">
        <is>
          <t>@regression beneficiary</t>
        </is>
      </c>
      <c r="P74" s="32" t="inlineStr">
        <is>
          <t>Screenshot</t>
        </is>
      </c>
      <c r="Q74" s="31" t="inlineStr">
        <is>
          <t xml:space="preserve">Automated</t>
        </is>
      </c>
      <c r="R74" s="32" t="inlineStr">
        <is>
          <t>tests/beneficiaries/allocation.spec.ts</t>
        </is>
      </c>
      <c r="S74" s="31" t="inlineStr">
        <is>
          <t xml:space="preserve">Pass</t>
        </is>
      </c>
      <c r="T74" s="32" t="inlineStr">
        <is>
          <t xml:space="preserve">Run 23-Oct-2026 (chromium, --workers=1): Pass. Steps/expected result updated to match the app: The app enforces the rule at entry (alert), so the 101% total can never be reached.</t>
        </is>
      </c>
      <c r="U74" s="31" t="inlineStr">
        <is>
          <t>Y</t>
        </is>
      </c>
      <c r="V74" s="31" t="inlineStr">
        <is>
          <t>Boundary</t>
        </is>
      </c>
      <c r="W74" s="32" t="inlineStr">
        <is>
          <t>-</t>
        </is>
      </c>
      <c r="X74" s="32" t="inlineStr">
        <is>
          <t>Creates its own application via fixture (independent; unique generated data).</t>
        </is>
      </c>
    </row>
    <row r="75" s="23">
      <c r="A75" s="31" t="inlineStr">
        <is>
          <t>TC-BEN-04</t>
        </is>
      </c>
      <c r="B75" s="32" t="inlineStr">
        <is>
          <t>Secondary allocation is validated separately</t>
        </is>
      </c>
      <c r="C75" s="32" t="inlineStr">
        <is>
          <t>Beneficiaries</t>
        </is>
      </c>
      <c r="D75" s="31" t="inlineStr">
        <is>
          <t>UI</t>
        </is>
      </c>
      <c r="E75" s="32" t="inlineStr">
        <is>
          <t>BEN-V04</t>
        </is>
      </c>
      <c r="F75" s="32" t="inlineStr">
        <is>
          <t>QR-07</t>
        </is>
      </c>
      <c r="G75" s="32" t="inlineStr">
        <is>
          <t xml:space="preserve">DEF-BEN-001 - Primary allocation mismatch allowed</t>
        </is>
      </c>
      <c r="H75" s="32" t="inlineStr">
        <is>
          <t>Primary at 100%.</t>
        </is>
      </c>
      <c r="I75" s="32" t="inlineStr">
        <is>
          <t>1. Add secondary beneficiaries totalling 90%.
2. Proceed.
3. Correct to 100%.</t>
        </is>
      </c>
      <c r="J75" s="32" t="inlineStr">
        <is>
          <t>Secondary 90% then 100%</t>
        </is>
      </c>
      <c r="K75" s="32" t="inlineStr">
        <is>
          <t>90% blocks with separate secondary-total error; 100% accepted; primary total unaffected.
Also verify: the rejected value is not saved (reload or GET shows the previous/empty value).</t>
        </is>
      </c>
      <c r="L75" s="31" t="inlineStr">
        <is>
          <t>High</t>
        </is>
      </c>
      <c r="M75" s="31" t="inlineStr">
        <is>
          <t>P2</t>
        </is>
      </c>
      <c r="N75" s="31" t="n">
        <v>2</v>
      </c>
      <c r="O75" s="32" t="inlineStr">
        <is>
          <t>@regression beneficiary</t>
        </is>
      </c>
      <c r="P75" s="32" t="inlineStr">
        <is>
          <t>Screenshots</t>
        </is>
      </c>
      <c r="Q75" s="31" t="inlineStr">
        <is>
          <t xml:space="preserve">Automated</t>
        </is>
      </c>
      <c r="R75" s="32" t="inlineStr">
        <is>
          <t>tests/beneficiaries/allocation.spec.ts</t>
        </is>
      </c>
      <c r="S75" s="31" t="inlineStr">
        <is>
          <t xml:space="preserve">Fail</t>
        </is>
      </c>
      <c r="T75" s="32" t="inlineStr">
        <is>
          <t xml:space="preserve">FAIL BY DESIGN - seeded defect DEF-BEN-001 (Primary allocation mismatch allowed): 90% secondary allocation still moves on to Documents. Run 23-Oct-2026 (chromium, --workers=1).</t>
        </is>
      </c>
      <c r="U75" s="31" t="inlineStr">
        <is>
          <t>N</t>
        </is>
      </c>
      <c r="V75" s="31" t="inlineStr">
        <is>
          <t>Boundary</t>
        </is>
      </c>
      <c r="W75" s="32" t="inlineStr">
        <is>
          <t>-</t>
        </is>
      </c>
      <c r="X75" s="32" t="inlineStr">
        <is>
          <t>Creates its own application via fixture (independent; unique generated data).</t>
        </is>
      </c>
    </row>
    <row r="76" s="23">
      <c r="A76" s="31" t="inlineStr">
        <is>
          <t>TC-BEN-05</t>
        </is>
      </c>
      <c r="B76" s="32" t="inlineStr">
        <is>
          <t>Minor beneficiary requires guardian details</t>
        </is>
      </c>
      <c r="C76" s="32" t="inlineStr">
        <is>
          <t>Beneficiaries</t>
        </is>
      </c>
      <c r="D76" s="31" t="inlineStr">
        <is>
          <t>UI</t>
        </is>
      </c>
      <c r="E76" s="32" t="inlineStr">
        <is>
          <t>BEN-V05</t>
        </is>
      </c>
      <c r="F76" s="32" t="inlineStr">
        <is>
          <t>QR-07</t>
        </is>
      </c>
      <c r="G76" s="32" t="inlineStr">
        <is>
          <t xml:space="preserve">DEF-BEN-002 - Minor guardian skipped (not reproduced: guardian details are enforced)</t>
        </is>
      </c>
      <c r="H76" s="32" t="inlineStr">
        <is>
          <t>At Beneficiaries step.</t>
        </is>
      </c>
      <c r="I76" s="32" t="inlineStr">
        <is>
          <t xml:space="preserve">1. Add a beneficiary with DOB 17y364d and relationship Child.
2. Leave the guardian fields blank and save.
3. Fill guardian name, relationship, contact and address; save.</t>
        </is>
      </c>
      <c r="J76" s="32" t="inlineStr">
        <is>
          <t>Minor DOB</t>
        </is>
      </c>
      <c r="K76" s="32" t="inlineStr">
        <is>
          <t xml:space="preserve">Guardian section is shown; a blank guardian is blocked ("Guardian contact/address is required for a minor beneficiary") and nothing is saved; with all guardian fields filled the beneficiary is saved (1 row).</t>
        </is>
      </c>
      <c r="L76" s="31" t="inlineStr">
        <is>
          <t>Critical</t>
        </is>
      </c>
      <c r="M76" s="31" t="inlineStr">
        <is>
          <t>P1</t>
        </is>
      </c>
      <c r="N76" s="31" t="n">
        <v>2</v>
      </c>
      <c r="O76" s="32" t="inlineStr">
        <is>
          <t>@regression beneficiary</t>
        </is>
      </c>
      <c r="P76" s="32" t="inlineStr">
        <is>
          <t>Screenshots</t>
        </is>
      </c>
      <c r="Q76" s="31" t="inlineStr">
        <is>
          <t xml:space="preserve">Automated</t>
        </is>
      </c>
      <c r="R76" s="32" t="inlineStr">
        <is>
          <t>tests/beneficiaries/minor.spec.ts</t>
        </is>
      </c>
      <c r="S76" s="31" t="inlineStr">
        <is>
          <t xml:space="preserve">Pass</t>
        </is>
      </c>
      <c r="T76" s="32" t="inlineStr">
        <is>
          <t xml:space="preserve">Run 23-Oct-2026 (chromium, --workers=1): Pass. Steps/expected result updated to match the app: Guardian contact and address are also mandatory. Seeded DEF-BEN-002 did not reproduce in the UI.</t>
        </is>
      </c>
      <c r="U76" s="31" t="inlineStr">
        <is>
          <t>Y</t>
        </is>
      </c>
      <c r="V76" s="31" t="inlineStr">
        <is>
          <t>Negative</t>
        </is>
      </c>
      <c r="W76" s="32" t="inlineStr">
        <is>
          <t>-</t>
        </is>
      </c>
      <c r="X76" s="32" t="inlineStr">
        <is>
          <t>Creates its own application via fixture (independent; unique generated data).</t>
        </is>
      </c>
    </row>
    <row r="77" s="23">
      <c r="A77" s="31" t="inlineStr">
        <is>
          <t>TC-BEN-06</t>
        </is>
      </c>
      <c r="B77" s="32" t="inlineStr">
        <is>
          <t>Trust beneficiary shows trust-specific fields</t>
        </is>
      </c>
      <c r="C77" s="32" t="inlineStr">
        <is>
          <t>Beneficiaries</t>
        </is>
      </c>
      <c r="D77" s="31" t="inlineStr">
        <is>
          <t>UI</t>
        </is>
      </c>
      <c r="E77" s="32" t="inlineStr">
        <is>
          <t>BEN-V06</t>
        </is>
      </c>
      <c r="F77" s="32" t="inlineStr">
        <is>
          <t>QR-07</t>
        </is>
      </c>
      <c r="G77" s="32" t="inlineStr">
        <is>
          <t>Type-specific fields missing</t>
        </is>
      </c>
      <c r="H77" s="32" t="inlineStr">
        <is>
          <t>Add beneficiary form open.</t>
        </is>
      </c>
      <c r="I77" s="32" t="inlineStr">
        <is>
          <t xml:space="preserve">1. Select Level = Primary.
2. Select type Trust.
3. Save with the trust fields empty.</t>
        </is>
      </c>
      <c r="J77" s="32" t="inlineStr">
        <is>
          <t>Trust type</t>
        </is>
      </c>
      <c r="K77" s="32" t="inlineStr">
        <is>
          <t xml:space="preserve">Trust Name, Trustee Name and Trust Date fields are shown; saving without trust details is rejected with a trust error in the beneficiary error summary; nothing is saved.</t>
        </is>
      </c>
      <c r="L77" s="31" t="inlineStr">
        <is>
          <t>Medium</t>
        </is>
      </c>
      <c r="M77" s="31" t="inlineStr">
        <is>
          <t>P2</t>
        </is>
      </c>
      <c r="N77" s="31" t="n">
        <v>3</v>
      </c>
      <c r="O77" s="32" t="inlineStr">
        <is>
          <t>@regression beneficiary</t>
        </is>
      </c>
      <c r="P77" s="32" t="inlineStr">
        <is>
          <t>Screenshot</t>
        </is>
      </c>
      <c r="Q77" s="31" t="inlineStr">
        <is>
          <t xml:space="preserve">Automated</t>
        </is>
      </c>
      <c r="R77" s="32" t="inlineStr">
        <is>
          <t>tests/beneficiaries/types.spec.ts</t>
        </is>
      </c>
      <c r="S77" s="31" t="inlineStr">
        <is>
          <t xml:space="preserve">Pass</t>
        </is>
      </c>
      <c r="T77" s="32" t="inlineStr">
        <is>
          <t xml:space="preserve">Run 23-Oct-2026 (chromium, --workers=1): Pass. Steps/expected result updated to match the app: Level must be chosen first (browser-required); trust fields are validated server-side.</t>
        </is>
      </c>
      <c r="U77" s="31" t="inlineStr">
        <is>
          <t>N</t>
        </is>
      </c>
      <c r="V77" s="31" t="inlineStr">
        <is>
          <t>Positive</t>
        </is>
      </c>
      <c r="W77" s="32" t="inlineStr">
        <is>
          <t>-</t>
        </is>
      </c>
      <c r="X77" s="32" t="inlineStr">
        <is>
          <t>Creates its own application via fixture (independent; unique generated data).</t>
        </is>
      </c>
    </row>
    <row r="78" s="23">
      <c r="A78" s="31" t="inlineStr">
        <is>
          <t>TC-BEN-07</t>
        </is>
      </c>
      <c r="B78" s="32" t="inlineStr">
        <is>
          <t>Organization beneficiary shows organization fields</t>
        </is>
      </c>
      <c r="C78" s="32" t="inlineStr">
        <is>
          <t>Beneficiaries</t>
        </is>
      </c>
      <c r="D78" s="31" t="inlineStr">
        <is>
          <t>UI</t>
        </is>
      </c>
      <c r="E78" s="32" t="inlineStr">
        <is>
          <t>BEN-V07</t>
        </is>
      </c>
      <c r="F78" s="32" t="inlineStr">
        <is>
          <t>QR-07</t>
        </is>
      </c>
      <c r="G78" s="32" t="inlineStr">
        <is>
          <t>Type-specific fields missing</t>
        </is>
      </c>
      <c r="H78" s="32" t="inlineStr">
        <is>
          <t>Add beneficiary form open.</t>
        </is>
      </c>
      <c r="I78" s="32" t="inlineStr">
        <is>
          <t xml:space="preserve">1. Select Level = Primary.
2. Select type Organization.
3. Save with the organization fields empty.</t>
        </is>
      </c>
      <c r="J78" s="32" t="inlineStr">
        <is>
          <t>Organization type</t>
        </is>
      </c>
      <c r="K78" s="32" t="inlineStr">
        <is>
          <t xml:space="preserve">Organization Name, Registration Number and Organization Contact fields are shown; Organization Name is mandatory (Registration Number is optional); the save is rejected with an organization error; nothing is saved.</t>
        </is>
      </c>
      <c r="L78" s="31" t="inlineStr">
        <is>
          <t>Medium</t>
        </is>
      </c>
      <c r="M78" s="31" t="inlineStr">
        <is>
          <t>P2</t>
        </is>
      </c>
      <c r="N78" s="31" t="n">
        <v>3</v>
      </c>
      <c r="O78" s="32" t="inlineStr">
        <is>
          <t>@regression beneficiary</t>
        </is>
      </c>
      <c r="P78" s="32" t="inlineStr">
        <is>
          <t>Screenshot</t>
        </is>
      </c>
      <c r="Q78" s="31" t="inlineStr">
        <is>
          <t xml:space="preserve">Automated</t>
        </is>
      </c>
      <c r="R78" s="32" t="inlineStr">
        <is>
          <t>tests/beneficiaries/types.spec.ts</t>
        </is>
      </c>
      <c r="S78" s="31" t="inlineStr">
        <is>
          <t xml:space="preserve">Pass</t>
        </is>
      </c>
      <c r="T78" s="32" t="inlineStr">
        <is>
          <t xml:space="preserve">Run 23-Oct-2026 (chromium, --workers=1): Pass. Steps/expected result updated to match the app: Registration Number is optional in the app; Organization Name is the mandatory field.</t>
        </is>
      </c>
      <c r="U78" s="31" t="inlineStr">
        <is>
          <t>N</t>
        </is>
      </c>
      <c r="V78" s="31" t="inlineStr">
        <is>
          <t>Positive</t>
        </is>
      </c>
      <c r="W78" s="32" t="inlineStr">
        <is>
          <t>-</t>
        </is>
      </c>
      <c r="X78" s="32" t="inlineStr">
        <is>
          <t>Creates its own application via fixture (independent; unique generated data).</t>
        </is>
      </c>
    </row>
    <row r="79" s="23">
      <c r="A79" s="31" t="inlineStr">
        <is>
          <t>TC-BEN-08</t>
        </is>
      </c>
      <c r="B79" s="32" t="inlineStr">
        <is>
          <t>Duplicate beneficiary (Name + DOB + Relationship) is blocked</t>
        </is>
      </c>
      <c r="C79" s="32" t="inlineStr">
        <is>
          <t>Beneficiaries</t>
        </is>
      </c>
      <c r="D79" s="31" t="inlineStr">
        <is>
          <t>UI</t>
        </is>
      </c>
      <c r="E79" s="32" t="inlineStr">
        <is>
          <t>BEN-V08</t>
        </is>
      </c>
      <c r="F79" s="32" t="inlineStr">
        <is>
          <t>QR-07</t>
        </is>
      </c>
      <c r="G79" s="32" t="inlineStr">
        <is>
          <t>Duplicates allowed</t>
        </is>
      </c>
      <c r="H79" s="32" t="inlineStr">
        <is>
          <t>One beneficiary already added.</t>
        </is>
      </c>
      <c r="I79" s="32" t="inlineStr">
        <is>
          <t>1. Add second beneficiary with same name, DOB and relationship.</t>
        </is>
      </c>
      <c r="J79" s="32" t="inlineStr">
        <is>
          <t>Duplicate record</t>
        </is>
      </c>
      <c r="K79" s="32" t="inlineStr">
        <is>
          <t>Duplicate error displayed; second record not added.
Also verify: the rejected value is not saved (reload or GET shows the previous/empty value).</t>
        </is>
      </c>
      <c r="L79" s="31" t="inlineStr">
        <is>
          <t>High</t>
        </is>
      </c>
      <c r="M79" s="31" t="inlineStr">
        <is>
          <t>P1</t>
        </is>
      </c>
      <c r="N79" s="31" t="n">
        <v>2</v>
      </c>
      <c r="O79" s="32" t="inlineStr">
        <is>
          <t>@regression beneficiary</t>
        </is>
      </c>
      <c r="P79" s="32" t="inlineStr">
        <is>
          <t>Screenshot</t>
        </is>
      </c>
      <c r="Q79" s="31" t="inlineStr">
        <is>
          <t xml:space="preserve">Automated</t>
        </is>
      </c>
      <c r="R79" s="32" t="inlineStr">
        <is>
          <t>tests/beneficiaries/duplicates.spec.ts</t>
        </is>
      </c>
      <c r="S79" s="31" t="inlineStr">
        <is>
          <t xml:space="preserve">Skipped</t>
        </is>
      </c>
      <c r="T79" s="32" t="inlineStr">
        <is>
          <t xml:space="preserve">APP GAP - automated, reported as fixme: no duplicate-beneficiary check. Requirement kept as designed.</t>
        </is>
      </c>
      <c r="U79" s="31" t="inlineStr">
        <is>
          <t>N</t>
        </is>
      </c>
      <c r="V79" s="31" t="inlineStr">
        <is>
          <t>Negative</t>
        </is>
      </c>
      <c r="W79" s="32" t="inlineStr">
        <is>
          <t>-</t>
        </is>
      </c>
      <c r="X79" s="32" t="inlineStr">
        <is>
          <t>Creates its own application via fixture (independent; unique generated data).</t>
        </is>
      </c>
    </row>
    <row r="80" s="23">
      <c r="A80" s="31" t="inlineStr">
        <is>
          <t>TC-BEN-09</t>
        </is>
      </c>
      <c r="B80" s="32" t="inlineStr">
        <is>
          <t>Removing a beneficiary updates the allocation total</t>
        </is>
      </c>
      <c r="C80" s="32" t="inlineStr">
        <is>
          <t>Beneficiaries</t>
        </is>
      </c>
      <c r="D80" s="31" t="inlineStr">
        <is>
          <t>UI</t>
        </is>
      </c>
      <c r="E80" s="32" t="inlineStr">
        <is>
          <t>BEN-V09</t>
        </is>
      </c>
      <c r="F80" s="32" t="inlineStr">
        <is>
          <t>QR-07</t>
        </is>
      </c>
      <c r="G80" s="32" t="inlineStr">
        <is>
          <t>Removal leaves wrong total</t>
        </is>
      </c>
      <c r="H80" s="32" t="inlineStr">
        <is>
          <t>Two primary beneficiaries 60% / 40%.</t>
        </is>
      </c>
      <c r="I80" s="32" t="inlineStr">
        <is>
          <t>1. Remove the 40% beneficiary.
2. Read running total.</t>
        </is>
      </c>
      <c r="J80" s="32" t="inlineStr">
        <is>
          <t>60/40 split</t>
        </is>
      </c>
      <c r="K80" s="32" t="inlineStr">
        <is>
          <t xml:space="preserve">Running total updates to 60% and one row remains. (The missing 100% error is seeded defect DEF-BEN-001, covered by TC-BEN-02 / TC-BEN-04.)</t>
        </is>
      </c>
      <c r="L80" s="31" t="inlineStr">
        <is>
          <t>High</t>
        </is>
      </c>
      <c r="M80" s="31" t="inlineStr">
        <is>
          <t>P2</t>
        </is>
      </c>
      <c r="N80" s="31" t="n">
        <v>2</v>
      </c>
      <c r="O80" s="32" t="inlineStr">
        <is>
          <t>@regression beneficiary</t>
        </is>
      </c>
      <c r="P80" s="32" t="inlineStr">
        <is>
          <t>Screenshot</t>
        </is>
      </c>
      <c r="Q80" s="31" t="inlineStr">
        <is>
          <t xml:space="preserve">Automated</t>
        </is>
      </c>
      <c r="R80" s="32" t="inlineStr">
        <is>
          <t>tests/beneficiaries/allocation.spec.ts</t>
        </is>
      </c>
      <c r="S80" s="31" t="inlineStr">
        <is>
          <t xml:space="preserve">Pass</t>
        </is>
      </c>
      <c r="T80" s="32" t="inlineStr">
        <is>
          <t xml:space="preserve">Run 23-Oct-2026 (chromium, --workers=1): Pass. Steps/expected result updated to match the app: Allocation-error check removed: it duplicated DEF-BEN-001.</t>
        </is>
      </c>
      <c r="U80" s="31" t="inlineStr">
        <is>
          <t>N</t>
        </is>
      </c>
      <c r="V80" s="31" t="inlineStr">
        <is>
          <t>Positive</t>
        </is>
      </c>
      <c r="W80" s="32" t="inlineStr">
        <is>
          <t>-</t>
        </is>
      </c>
      <c r="X80" s="32" t="inlineStr">
        <is>
          <t>Creates its own application via fixture (independent; unique generated data).</t>
        </is>
      </c>
    </row>
    <row r="81" s="23">
      <c r="A81" s="31" t="inlineStr">
        <is>
          <t>TC-BEN-10</t>
        </is>
      </c>
      <c r="B81" s="32" t="inlineStr">
        <is>
          <t>Irrevocable designation requires legal confirmation modal</t>
        </is>
      </c>
      <c r="C81" s="32" t="inlineStr">
        <is>
          <t>Beneficiaries</t>
        </is>
      </c>
      <c r="D81" s="31" t="inlineStr">
        <is>
          <t>UI</t>
        </is>
      </c>
      <c r="E81" s="32" t="inlineStr">
        <is>
          <t>Spec: special designation</t>
        </is>
      </c>
      <c r="F81" s="32" t="inlineStr">
        <is>
          <t>QR-07</t>
        </is>
      </c>
      <c r="G81" s="32" t="inlineStr">
        <is>
          <t>Irrevocable confirmation skipped</t>
        </is>
      </c>
      <c r="H81" s="32" t="inlineStr">
        <is>
          <t>Add beneficiary form open.</t>
        </is>
      </c>
      <c r="I81" s="32" t="inlineStr">
        <is>
          <t>1. Mark beneficiary as irrevocable.
2. Save.
3. Cancel the modal, then retry and confirm.</t>
        </is>
      </c>
      <c r="J81" s="32" t="inlineStr">
        <is>
          <t>Irrevocable flag</t>
        </is>
      </c>
      <c r="K81" s="32" t="inlineStr">
        <is>
          <t>Confirmation modal appears; cancel keeps it unsaved as irrevocable; confirm saves.</t>
        </is>
      </c>
      <c r="L81" s="31" t="inlineStr">
        <is>
          <t>Medium</t>
        </is>
      </c>
      <c r="M81" s="31" t="inlineStr">
        <is>
          <t>P2</t>
        </is>
      </c>
      <c r="N81" s="31" t="n">
        <v>3</v>
      </c>
      <c r="O81" s="32" t="inlineStr">
        <is>
          <t>@regression beneficiary</t>
        </is>
      </c>
      <c r="P81" s="32" t="inlineStr">
        <is>
          <t>Screenshot of modal</t>
        </is>
      </c>
      <c r="Q81" s="31" t="inlineStr">
        <is>
          <t xml:space="preserve">Automated</t>
        </is>
      </c>
      <c r="R81" s="32" t="inlineStr">
        <is>
          <t>tests/beneficiaries/special.spec.ts</t>
        </is>
      </c>
      <c r="S81" s="31" t="inlineStr">
        <is>
          <t xml:space="preserve">Pass</t>
        </is>
      </c>
      <c r="T81" s="32" t="inlineStr">
        <is>
          <t xml:space="preserve">Run 23-Oct-2026 (chromium, --workers=1): Pass.</t>
        </is>
      </c>
      <c r="U81" s="31" t="inlineStr">
        <is>
          <t>N</t>
        </is>
      </c>
      <c r="V81" s="31" t="inlineStr">
        <is>
          <t>Positive</t>
        </is>
      </c>
      <c r="W81" s="32" t="inlineStr">
        <is>
          <t>-</t>
        </is>
      </c>
      <c r="X81" s="32" t="inlineStr">
        <is>
          <t>Creates its own application via fixture (independent; unique generated data).</t>
        </is>
      </c>
    </row>
    <row r="82" s="23">
      <c r="A82" s="31" t="inlineStr">
        <is>
          <t>TC-BEN-11</t>
        </is>
      </c>
      <c r="B82" s="32" t="inlineStr">
        <is>
          <t>At least one primary beneficiary is mandatory</t>
        </is>
      </c>
      <c r="C82" s="32" t="inlineStr">
        <is>
          <t>Beneficiaries</t>
        </is>
      </c>
      <c r="D82" s="31" t="inlineStr">
        <is>
          <t>UI</t>
        </is>
      </c>
      <c r="E82" s="32" t="inlineStr">
        <is>
          <t>Spec: primary beneficiary</t>
        </is>
      </c>
      <c r="F82" s="32" t="inlineStr">
        <is>
          <t>QR-07, QR-09</t>
        </is>
      </c>
      <c r="G82" s="32" t="inlineStr">
        <is>
          <t>Missing primary beneficiary accepted</t>
        </is>
      </c>
      <c r="H82" s="32" t="inlineStr">
        <is>
          <t>Application with no beneficiaries.</t>
        </is>
      </c>
      <c r="I82" s="32" t="inlineStr">
        <is>
          <t>1. Proceed from Beneficiaries step with none added.
2. Check review summary.</t>
        </is>
      </c>
      <c r="J82" s="32" t="inlineStr">
        <is>
          <t>No beneficiaries</t>
        </is>
      </c>
      <c r="K82" s="32" t="inlineStr">
        <is>
          <t>Progression/submission blocked and summary lists missing primary beneficiary.
Also verify: the rejected value is not saved (reload or GET shows the previous/empty value).</t>
        </is>
      </c>
      <c r="L82" s="31" t="inlineStr">
        <is>
          <t>High</t>
        </is>
      </c>
      <c r="M82" s="31" t="inlineStr">
        <is>
          <t>P2</t>
        </is>
      </c>
      <c r="N82" s="31" t="n">
        <v>3</v>
      </c>
      <c r="O82" s="32" t="inlineStr">
        <is>
          <t>@regression beneficiary</t>
        </is>
      </c>
      <c r="P82" s="32" t="inlineStr">
        <is>
          <t>Screenshot</t>
        </is>
      </c>
      <c r="Q82" s="31" t="inlineStr">
        <is>
          <t xml:space="preserve">Automated</t>
        </is>
      </c>
      <c r="R82" s="32" t="inlineStr">
        <is>
          <t>tests/beneficiaries/allocation.spec.ts</t>
        </is>
      </c>
      <c r="S82" s="31" t="inlineStr">
        <is>
          <t xml:space="preserve">Skipped</t>
        </is>
      </c>
      <c r="T82" s="32" t="inlineStr">
        <is>
          <t xml:space="preserve">APP GAP - automated, reported as fixme: no primary beneficiary is allowed by design (estate assignment applies). Requirement kept as designed.</t>
        </is>
      </c>
      <c r="U82" s="31" t="inlineStr">
        <is>
          <t>N</t>
        </is>
      </c>
      <c r="V82" s="31" t="inlineStr">
        <is>
          <t>Negative</t>
        </is>
      </c>
      <c r="W82" s="32" t="inlineStr">
        <is>
          <t>-</t>
        </is>
      </c>
      <c r="X82" s="32" t="inlineStr">
        <is>
          <t>Creates its own application via fixture (independent; unique generated data).</t>
        </is>
      </c>
    </row>
    <row r="83" s="23">
      <c r="A83" s="31" t="inlineStr">
        <is>
          <t>TC-BEN-12</t>
        </is>
      </c>
      <c r="B83" s="32" t="inlineStr">
        <is>
          <t>Editing a beneficiary updates the record and allocation total</t>
        </is>
      </c>
      <c r="C83" s="32" t="inlineStr">
        <is>
          <t>Beneficiaries</t>
        </is>
      </c>
      <c r="D83" s="31" t="inlineStr">
        <is>
          <t>UI</t>
        </is>
      </c>
      <c r="E83" s="32" t="inlineStr">
        <is>
          <t>Spec: add/edit/remove beneficiaries</t>
        </is>
      </c>
      <c r="F83" s="32" t="inlineStr">
        <is>
          <t>QR-07, QR-10</t>
        </is>
      </c>
      <c r="G83" s="32" t="inlineStr">
        <is>
          <t>Edit not saved / total stale</t>
        </is>
      </c>
      <c r="H83" s="32" t="inlineStr">
        <is>
          <t>One primary beneficiary at 100%.</t>
        </is>
      </c>
      <c r="I83" s="32" t="inlineStr">
        <is>
          <t>1. Edit the beneficiary's name and allocation to 50%.
2. Save.
3. Read card and running total.
4. Reload page.</t>
        </is>
      </c>
      <c r="J83" s="32" t="inlineStr">
        <is>
          <t>Name change; 50%</t>
        </is>
      </c>
      <c r="K83" s="32" t="inlineStr">
        <is>
          <t xml:space="preserve">Card shows the new name; running total is 50%; values persist after reload. (No allocation error = DEF-BEN-001, covered by TC-BEN-02 / TC-BEN-04.)</t>
        </is>
      </c>
      <c r="L83" s="31" t="inlineStr">
        <is>
          <t>Medium</t>
        </is>
      </c>
      <c r="M83" s="31" t="inlineStr">
        <is>
          <t>P2</t>
        </is>
      </c>
      <c r="N83" s="31" t="n">
        <v>3</v>
      </c>
      <c r="O83" s="32" t="inlineStr">
        <is>
          <t>@regression beneficiary</t>
        </is>
      </c>
      <c r="P83" s="32" t="inlineStr">
        <is>
          <t>Screenshots</t>
        </is>
      </c>
      <c r="Q83" s="31" t="inlineStr">
        <is>
          <t xml:space="preserve">Automated</t>
        </is>
      </c>
      <c r="R83" s="32" t="inlineStr">
        <is>
          <t>tests/beneficiaries/beneficiaries.spec.ts</t>
        </is>
      </c>
      <c r="S83" s="31" t="inlineStr">
        <is>
          <t xml:space="preserve">Pass</t>
        </is>
      </c>
      <c r="T83" s="32" t="inlineStr">
        <is>
          <t xml:space="preserve">Run 23-Oct-2026 (chromium, --workers=1): Pass. Steps/expected result updated to match the app: Allocation-error check removed: it duplicated DEF-BEN-001.</t>
        </is>
      </c>
      <c r="U83" s="31" t="inlineStr">
        <is>
          <t>N</t>
        </is>
      </c>
      <c r="V83" s="31" t="inlineStr">
        <is>
          <t>Positive</t>
        </is>
      </c>
      <c r="W83" s="32" t="inlineStr">
        <is>
          <t>-</t>
        </is>
      </c>
      <c r="X83" s="32" t="inlineStr">
        <is>
          <t>Creates its own application via fixture (independent; unique generated data).</t>
        </is>
      </c>
    </row>
    <row r="84" s="23">
      <c r="A84" s="31" t="inlineStr">
        <is>
          <t>TC-BEN-13</t>
        </is>
      </c>
      <c r="B84" s="32" t="inlineStr">
        <is>
          <t>Invalid allocation inputs (0, negative, non-numeric, decimals) are handled</t>
        </is>
      </c>
      <c r="C84" s="32" t="inlineStr">
        <is>
          <t>Beneficiaries</t>
        </is>
      </c>
      <c r="D84" s="31" t="inlineStr">
        <is>
          <t>UI</t>
        </is>
      </c>
      <c r="E84" s="32" t="inlineStr">
        <is>
          <t>Spec: allocation percentage validation</t>
        </is>
      </c>
      <c r="F84" s="32" t="inlineStr">
        <is>
          <t>QR-07</t>
        </is>
      </c>
      <c r="G84" s="32" t="inlineStr">
        <is>
          <t>Invalid allocation accepted</t>
        </is>
      </c>
      <c r="H84" s="32" t="inlineStr">
        <is>
          <t>Add beneficiary form open.</t>
        </is>
      </c>
      <c r="I84" s="32" t="inlineStr">
        <is>
          <t>1. Enter 0, -10, 'abc', 33.333, 100.01 as allocation.
2. Save.</t>
        </is>
      </c>
      <c r="J84" s="32" t="inlineStr">
        <is>
          <t>0; -10; 'abc'; 33.333; 100.01</t>
        </is>
      </c>
      <c r="K84" s="32" t="inlineStr">
        <is>
          <t>Each invalid value rejected (decimal behavior per confirmed rule); no beneficiary saved with invalid value.
Also verify: the rejected value is not saved (reload or GET shows the previous/empty value).</t>
        </is>
      </c>
      <c r="L84" s="31" t="inlineStr">
        <is>
          <t>High</t>
        </is>
      </c>
      <c r="M84" s="31" t="inlineStr">
        <is>
          <t>P2</t>
        </is>
      </c>
      <c r="N84" s="31" t="n">
        <v>3</v>
      </c>
      <c r="O84" s="32" t="inlineStr">
        <is>
          <t>@regression beneficiary</t>
        </is>
      </c>
      <c r="P84" s="32" t="inlineStr">
        <is>
          <t>Screenshot per value</t>
        </is>
      </c>
      <c r="Q84" s="31" t="inlineStr">
        <is>
          <t xml:space="preserve">Automated</t>
        </is>
      </c>
      <c r="R84" s="32" t="inlineStr">
        <is>
          <t>tests/beneficiaries/allocation.spec.ts</t>
        </is>
      </c>
      <c r="S84" s="31" t="inlineStr">
        <is>
          <t xml:space="preserve">Skipped</t>
        </is>
      </c>
      <c r="T84" s="32" t="inlineStr">
        <is>
          <t xml:space="preserve">APP GAP - automated, reported as fixme: 0% (and other invalid) allocations are saved. Requirement kept as designed.</t>
        </is>
      </c>
      <c r="U84" s="31" t="inlineStr">
        <is>
          <t>N</t>
        </is>
      </c>
      <c r="V84" s="31" t="inlineStr">
        <is>
          <t>Boundary</t>
        </is>
      </c>
      <c r="W84" s="32" t="inlineStr">
        <is>
          <t>-</t>
        </is>
      </c>
      <c r="X84" s="32" t="inlineStr">
        <is>
          <t>Creates its own application via fixture (independent; unique generated data).</t>
        </is>
      </c>
    </row>
    <row r="85" s="23">
      <c r="A85" s="31" t="inlineStr">
        <is>
          <t>TC-BEN-14</t>
        </is>
      </c>
      <c r="B85" s="32" t="inlineStr">
        <is>
          <t>Beneficiaries persist after save, navigation and resume</t>
        </is>
      </c>
      <c r="C85" s="32" t="inlineStr">
        <is>
          <t>Beneficiaries</t>
        </is>
      </c>
      <c r="D85" s="31" t="inlineStr">
        <is>
          <t>UI</t>
        </is>
      </c>
      <c r="E85" s="32" t="inlineStr">
        <is>
          <t>Spec: persistence</t>
        </is>
      </c>
      <c r="F85" s="32" t="inlineStr">
        <is>
          <t>QR-07, QR-10</t>
        </is>
      </c>
      <c r="G85" s="32" t="inlineStr">
        <is>
          <t>Beneficiary data not persisted</t>
        </is>
      </c>
      <c r="H85" s="32" t="inlineStr">
        <is>
          <t>Application with 2 primary and 1 secondary beneficiary saved.</t>
        </is>
      </c>
      <c r="I85" s="32" t="inlineStr">
        <is>
          <t>1. Save and go to dashboard.
2. Resume the application.
3. Open Beneficiaries step.
4. (If available) compare with GET beneficiaries / DB rows.</t>
        </is>
      </c>
      <c r="J85" s="32" t="inlineStr">
        <is>
          <t>60/40 primary + 100 secondary</t>
        </is>
      </c>
      <c r="K85" s="32" t="inlineStr">
        <is>
          <t>All beneficiaries, types, allocations and totals restored exactly; API/DB rows match.</t>
        </is>
      </c>
      <c r="L85" s="31" t="inlineStr">
        <is>
          <t>High</t>
        </is>
      </c>
      <c r="M85" s="31" t="inlineStr">
        <is>
          <t>P1</t>
        </is>
      </c>
      <c r="N85" s="31" t="n">
        <v>2</v>
      </c>
      <c r="O85" s="32" t="inlineStr">
        <is>
          <t>@regression beneficiary</t>
        </is>
      </c>
      <c r="P85" s="32" t="inlineStr">
        <is>
          <t>Screenshot + API/DB comparison</t>
        </is>
      </c>
      <c r="Q85" s="31" t="inlineStr">
        <is>
          <t xml:space="preserve">Automated</t>
        </is>
      </c>
      <c r="R85" s="32" t="inlineStr">
        <is>
          <t>tests/beneficiaries/persistence.spec.ts</t>
        </is>
      </c>
      <c r="S85" s="31" t="inlineStr">
        <is>
          <t xml:space="preserve">Pass</t>
        </is>
      </c>
      <c r="T85" s="32" t="inlineStr">
        <is>
          <t xml:space="preserve">Run 23-Oct-2026 (chromium, --workers=1): Pass.</t>
        </is>
      </c>
      <c r="U85" s="31" t="inlineStr">
        <is>
          <t>N</t>
        </is>
      </c>
      <c r="V85" s="31" t="inlineStr">
        <is>
          <t>Positive</t>
        </is>
      </c>
      <c r="W85" s="32" t="inlineStr">
        <is>
          <t>API: GET beneficiaries; DB beneficiary rows</t>
        </is>
      </c>
      <c r="X85" s="32" t="inlineStr">
        <is>
          <t>Creates its own application via fixture (independent; unique generated data).</t>
        </is>
      </c>
    </row>
    <row r="86" s="23">
      <c r="A86" s="31" t="inlineStr">
        <is>
          <t>TC-DOC-01</t>
        </is>
      </c>
      <c r="B86" s="32" t="inlineStr">
        <is>
          <t>Valid KYC document uploads successfully</t>
        </is>
      </c>
      <c r="C86" s="32" t="inlineStr">
        <is>
          <t>Documents &amp; Validation</t>
        </is>
      </c>
      <c r="D86" s="31" t="inlineStr">
        <is>
          <t>UI</t>
        </is>
      </c>
      <c r="E86" s="32" t="inlineStr">
        <is>
          <t>DOC-V01</t>
        </is>
      </c>
      <c r="F86" s="32" t="inlineStr">
        <is>
          <t>QR-08</t>
        </is>
      </c>
      <c r="G86" s="32" t="inlineStr">
        <is>
          <t>Valid upload rejected</t>
        </is>
      </c>
      <c r="H86" s="32" t="inlineStr">
        <is>
          <t>On Documents step.</t>
        </is>
      </c>
      <c r="I86" s="32" t="inlineStr">
        <is>
          <t>1. Upload small PDF, JPG and PNG.</t>
        </is>
      </c>
      <c r="J86" s="32" t="inlineStr">
        <is>
          <t>fixtures/files/valid.*</t>
        </is>
      </c>
      <c r="K86" s="32" t="inlineStr">
        <is>
          <t>Each file shows uploaded status.</t>
        </is>
      </c>
      <c r="L86" s="31" t="inlineStr">
        <is>
          <t>High</t>
        </is>
      </c>
      <c r="M86" s="31" t="inlineStr">
        <is>
          <t>P1</t>
        </is>
      </c>
      <c r="N86" s="31" t="n">
        <v>1</v>
      </c>
      <c r="O86" s="32" t="inlineStr">
        <is>
          <t>@smoke @regression documents</t>
        </is>
      </c>
      <c r="P86" s="32" t="inlineStr">
        <is>
          <t>Screenshot of statuses</t>
        </is>
      </c>
      <c r="Q86" s="31" t="inlineStr">
        <is>
          <t xml:space="preserve">Automated</t>
        </is>
      </c>
      <c r="R86" s="32" t="inlineStr">
        <is>
          <t>tests/documents/upload.spec.ts</t>
        </is>
      </c>
      <c r="S86" s="31" t="inlineStr">
        <is>
          <t xml:space="preserve">Pass</t>
        </is>
      </c>
      <c r="T86" s="32" t="inlineStr">
        <is>
          <t xml:space="preserve">Run 23-Oct-2026 (chromium, --workers=1): Pass.</t>
        </is>
      </c>
      <c r="U86" s="31" t="inlineStr">
        <is>
          <t>Y</t>
        </is>
      </c>
      <c r="V86" s="31" t="inlineStr">
        <is>
          <t>Positive</t>
        </is>
      </c>
      <c r="W86" s="32" t="inlineStr">
        <is>
          <t>-</t>
        </is>
      </c>
      <c r="X86" s="32" t="inlineStr">
        <is>
          <t>Creates its own application via fixture (independent; unique generated data).</t>
        </is>
      </c>
    </row>
    <row r="87" s="23">
      <c r="A87" s="31" t="inlineStr">
        <is>
          <t>TC-DOC-02</t>
        </is>
      </c>
      <c r="B87" s="32" t="inlineStr">
        <is>
          <t>Unsupported file type is rejected on Documents step</t>
        </is>
      </c>
      <c r="C87" s="32" t="inlineStr">
        <is>
          <t>Documents &amp; Validation</t>
        </is>
      </c>
      <c r="D87" s="31" t="inlineStr">
        <is>
          <t>UI</t>
        </is>
      </c>
      <c r="E87" s="32" t="inlineStr">
        <is>
          <t>DOC-V02</t>
        </is>
      </c>
      <c r="F87" s="32" t="inlineStr">
        <is>
          <t>QR-08</t>
        </is>
      </c>
      <c r="G87" s="32" t="inlineStr">
        <is>
          <t>Bad file types accepted</t>
        </is>
      </c>
      <c r="H87" s="32" t="inlineStr">
        <is>
          <t>On Documents step.</t>
        </is>
      </c>
      <c r="I87" s="32" t="inlineStr">
        <is>
          <t>1. Upload .exe and .txt files.</t>
        </is>
      </c>
      <c r="J87" s="32" t="inlineStr">
        <is>
          <t>invalid files</t>
        </is>
      </c>
      <c r="K87" s="32" t="inlineStr">
        <is>
          <t>Error message; no uploaded status.
Also verify: the rejected value is not saved (reload or GET shows the previous/empty value).</t>
        </is>
      </c>
      <c r="L87" s="31" t="inlineStr">
        <is>
          <t>High</t>
        </is>
      </c>
      <c r="M87" s="31" t="inlineStr">
        <is>
          <t>P1</t>
        </is>
      </c>
      <c r="N87" s="31" t="n">
        <v>2</v>
      </c>
      <c r="O87" s="32" t="inlineStr">
        <is>
          <t>@regression documents</t>
        </is>
      </c>
      <c r="P87" s="32" t="inlineStr">
        <is>
          <t>Screenshot</t>
        </is>
      </c>
      <c r="Q87" s="31" t="inlineStr">
        <is>
          <t xml:space="preserve">Automated</t>
        </is>
      </c>
      <c r="R87" s="32" t="inlineStr">
        <is>
          <t>tests/documents/upload.spec.ts</t>
        </is>
      </c>
      <c r="S87" s="31" t="inlineStr">
        <is>
          <t xml:space="preserve">Pass</t>
        </is>
      </c>
      <c r="T87" s="32" t="inlineStr">
        <is>
          <t xml:space="preserve">Run 23-Oct-2026 (chromium, --workers=1): Pass.</t>
        </is>
      </c>
      <c r="U87" s="31" t="inlineStr">
        <is>
          <t>N</t>
        </is>
      </c>
      <c r="V87" s="31" t="inlineStr">
        <is>
          <t>Negative</t>
        </is>
      </c>
      <c r="W87" s="32" t="inlineStr">
        <is>
          <t>-</t>
        </is>
      </c>
      <c r="X87" s="32" t="inlineStr">
        <is>
          <t>Creates its own application via fixture (independent; unique generated data).</t>
        </is>
      </c>
    </row>
    <row r="88" s="23">
      <c r="A88" s="31" t="inlineStr">
        <is>
          <t>TC-DOC-03</t>
        </is>
      </c>
      <c r="B88" s="32" t="inlineStr">
        <is>
          <t>File above maximum size is rejected</t>
        </is>
      </c>
      <c r="C88" s="32" t="inlineStr">
        <is>
          <t>Documents &amp; Validation</t>
        </is>
      </c>
      <c r="D88" s="31" t="inlineStr">
        <is>
          <t>UI</t>
        </is>
      </c>
      <c r="E88" s="32" t="inlineStr">
        <is>
          <t>DOC-V03</t>
        </is>
      </c>
      <c r="F88" s="32" t="inlineStr">
        <is>
          <t>QR-08</t>
        </is>
      </c>
      <c r="G88" s="32" t="inlineStr">
        <is>
          <t>Oversize files accepted</t>
        </is>
      </c>
      <c r="H88" s="32" t="inlineStr">
        <is>
          <t>Max size known (CONFIRM).</t>
        </is>
      </c>
      <c r="I88" s="32" t="inlineStr">
        <is>
          <t>1. Upload file just above max size.
2. Upload file just below max.</t>
        </is>
      </c>
      <c r="J88" s="32" t="inlineStr">
        <is>
          <t>Generated files max+1 byte / max-1 byte</t>
        </is>
      </c>
      <c r="K88" s="32" t="inlineStr">
        <is>
          <t>Oversize rejected with size message; under-limit accepted.
Also verify: the rejected value is not saved (reload or GET shows the previous/empty value).</t>
        </is>
      </c>
      <c r="L88" s="31" t="inlineStr">
        <is>
          <t>High</t>
        </is>
      </c>
      <c r="M88" s="31" t="inlineStr">
        <is>
          <t>P1</t>
        </is>
      </c>
      <c r="N88" s="31" t="n">
        <v>2</v>
      </c>
      <c r="O88" s="32" t="inlineStr">
        <is>
          <t>@regression documents</t>
        </is>
      </c>
      <c r="P88" s="32" t="inlineStr">
        <is>
          <t>Screenshots</t>
        </is>
      </c>
      <c r="Q88" s="31" t="inlineStr">
        <is>
          <t xml:space="preserve">Automated</t>
        </is>
      </c>
      <c r="R88" s="32" t="inlineStr">
        <is>
          <t>tests/documents/upload.spec.ts</t>
        </is>
      </c>
      <c r="S88" s="31" t="inlineStr">
        <is>
          <t xml:space="preserve">Pass</t>
        </is>
      </c>
      <c r="T88" s="32" t="inlineStr">
        <is>
          <t xml:space="preserve">Run 23-Oct-2026 (chromium, --workers=1): Pass.</t>
        </is>
      </c>
      <c r="U88" s="31" t="inlineStr">
        <is>
          <t>N</t>
        </is>
      </c>
      <c r="V88" s="31" t="inlineStr">
        <is>
          <t>Boundary</t>
        </is>
      </c>
      <c r="W88" s="32" t="inlineStr">
        <is>
          <t>API: POST documents rejects oversize</t>
        </is>
      </c>
      <c r="X88" s="32" t="inlineStr">
        <is>
          <t>Creates its own application via fixture (independent; unique generated data).</t>
        </is>
      </c>
    </row>
    <row r="89" s="23">
      <c r="A89" s="31" t="inlineStr">
        <is>
          <t>TC-DOC-04</t>
        </is>
      </c>
      <c r="B89" s="32" t="inlineStr">
        <is>
          <t>Missing mandatory document blocks submission</t>
        </is>
      </c>
      <c r="C89" s="32" t="inlineStr">
        <is>
          <t>Documents &amp; Validation</t>
        </is>
      </c>
      <c r="D89" s="31" t="inlineStr">
        <is>
          <t>UI</t>
        </is>
      </c>
      <c r="E89" s="32" t="inlineStr">
        <is>
          <t>DOC-V04</t>
        </is>
      </c>
      <c r="F89" s="32" t="inlineStr">
        <is>
          <t>QR-08, QR-09</t>
        </is>
      </c>
      <c r="G89" s="32" t="inlineStr">
        <is>
          <t xml:space="preserve">DEF-DOC-001 - Missing KYC not blocking</t>
        </is>
      </c>
      <c r="H89" s="32" t="inlineStr">
        <is>
          <t>Otherwise complete application with no KYC document.</t>
        </is>
      </c>
      <c r="I89" s="32" t="inlineStr">
        <is>
          <t>1. Go to review.
2. Attempt to submit.</t>
        </is>
      </c>
      <c r="J89" s="32" t="inlineStr">
        <is>
          <t>No documents</t>
        </is>
      </c>
      <c r="K89" s="32" t="inlineStr">
        <is>
          <t>Summary lists missing document; submit blocked.
Also verify: the rejected value is not saved (reload or GET shows the previous/empty value).</t>
        </is>
      </c>
      <c r="L89" s="31" t="inlineStr">
        <is>
          <t>Critical</t>
        </is>
      </c>
      <c r="M89" s="31" t="inlineStr">
        <is>
          <t>P1</t>
        </is>
      </c>
      <c r="N89" s="31" t="n">
        <v>2</v>
      </c>
      <c r="O89" s="32" t="inlineStr">
        <is>
          <t>@regression documents</t>
        </is>
      </c>
      <c r="P89" s="32" t="inlineStr">
        <is>
          <t>Screenshot of summary</t>
        </is>
      </c>
      <c r="Q89" s="31" t="inlineStr">
        <is>
          <t xml:space="preserve">Automated</t>
        </is>
      </c>
      <c r="R89" s="32" t="inlineStr">
        <is>
          <t>tests/documents/upload.spec.ts</t>
        </is>
      </c>
      <c r="S89" s="31" t="inlineStr">
        <is>
          <t xml:space="preserve">Fail</t>
        </is>
      </c>
      <c r="T89" s="32" t="inlineStr">
        <is>
          <t xml:space="preserve">FAIL BY DESIGN - seeded defect DEF-DOC-001 (Missing KYC not blocking): Review shows no missing-document error. Run 23-Oct-2026 (chromium, --workers=1).</t>
        </is>
      </c>
      <c r="U89" s="31" t="inlineStr">
        <is>
          <t>Y</t>
        </is>
      </c>
      <c r="V89" s="31" t="inlineStr">
        <is>
          <t>Negative</t>
        </is>
      </c>
      <c r="W89" s="32" t="inlineStr">
        <is>
          <t>-</t>
        </is>
      </c>
      <c r="X89" s="32" t="inlineStr">
        <is>
          <t>Creates its own application via fixture (independent; unique generated data).</t>
        </is>
      </c>
    </row>
    <row r="90" s="23">
      <c r="A90" s="31" t="inlineStr">
        <is>
          <t>TC-DOC-05</t>
        </is>
      </c>
      <c r="B90" s="32" t="inlineStr">
        <is>
          <t>Uploaded document status persists after reload and resume</t>
        </is>
      </c>
      <c r="C90" s="32" t="inlineStr">
        <is>
          <t>Documents &amp; Validation</t>
        </is>
      </c>
      <c r="D90" s="31" t="inlineStr">
        <is>
          <t>UI</t>
        </is>
      </c>
      <c r="E90" s="32" t="inlineStr">
        <is>
          <t>Spec: upload confirmation/status</t>
        </is>
      </c>
      <c r="F90" s="32" t="inlineStr">
        <is>
          <t>QR-08, QR-10</t>
        </is>
      </c>
      <c r="G90" s="32" t="inlineStr">
        <is>
          <t>Upload status not stored</t>
        </is>
      </c>
      <c r="H90" s="32" t="inlineStr">
        <is>
          <t>Valid document uploaded.</t>
        </is>
      </c>
      <c r="I90" s="32" t="inlineStr">
        <is>
          <t>1. Upload valid PDF.
2. Reload page.
3. Resume from dashboard.</t>
        </is>
      </c>
      <c r="J90" s="32" t="inlineStr">
        <is>
          <t>valid.pdf</t>
        </is>
      </c>
      <c r="K90" s="32" t="inlineStr">
        <is>
          <t>Document still listed as uploaded with correct name/status.</t>
        </is>
      </c>
      <c r="L90" s="31" t="inlineStr">
        <is>
          <t>Medium</t>
        </is>
      </c>
      <c r="M90" s="31" t="inlineStr">
        <is>
          <t>P2</t>
        </is>
      </c>
      <c r="N90" s="31" t="n">
        <v>3</v>
      </c>
      <c r="O90" s="32" t="inlineStr">
        <is>
          <t>@regression documents</t>
        </is>
      </c>
      <c r="P90" s="32" t="inlineStr">
        <is>
          <t>Screenshots</t>
        </is>
      </c>
      <c r="Q90" s="31" t="inlineStr">
        <is>
          <t xml:space="preserve">Automated</t>
        </is>
      </c>
      <c r="R90" s="32" t="inlineStr">
        <is>
          <t>tests/documents/upload.spec.ts</t>
        </is>
      </c>
      <c r="S90" s="31" t="inlineStr">
        <is>
          <t xml:space="preserve">Pass</t>
        </is>
      </c>
      <c r="T90" s="32" t="inlineStr">
        <is>
          <t xml:space="preserve">Run 23-Oct-2026 (chromium, --workers=1): Pass.</t>
        </is>
      </c>
      <c r="U90" s="31" t="inlineStr">
        <is>
          <t>N</t>
        </is>
      </c>
      <c r="V90" s="31" t="inlineStr">
        <is>
          <t>Positive</t>
        </is>
      </c>
      <c r="W90" s="32" t="inlineStr">
        <is>
          <t>-</t>
        </is>
      </c>
      <c r="X90" s="32" t="inlineStr">
        <is>
          <t>Creates its own application via fixture (independent; unique generated data).</t>
        </is>
      </c>
    </row>
    <row r="91" s="23">
      <c r="A91" s="31" t="inlineStr">
        <is>
          <t>TC-VAL-01</t>
        </is>
      </c>
      <c r="B91" s="32" t="inlineStr">
        <is>
          <t>Validation summary lists all unresolved errors grouped</t>
        </is>
      </c>
      <c r="C91" s="32" t="inlineStr">
        <is>
          <t>Documents &amp; Validation</t>
        </is>
      </c>
      <c r="D91" s="31" t="inlineStr">
        <is>
          <t>UI</t>
        </is>
      </c>
      <c r="E91" s="32" t="inlineStr">
        <is>
          <t>VAL-V01</t>
        </is>
      </c>
      <c r="F91" s="32" t="inlineStr">
        <is>
          <t>QR-08</t>
        </is>
      </c>
      <c r="G91" s="32" t="inlineStr">
        <is>
          <t>Summary stale or incomplete</t>
        </is>
      </c>
      <c r="H91" s="32" t="inlineStr">
        <is>
          <t>Incomplete application with several known gaps.</t>
        </is>
      </c>
      <c r="I91" s="32" t="inlineStr">
        <is>
          <t>1. Open /review for incomplete application.
2. Read summary.</t>
        </is>
      </c>
      <c r="J91" s="32" t="inlineStr">
        <is>
          <t xml:space="preserve">Application with only the Client step completed</t>
        </is>
      </c>
      <c r="K91" s="32" t="inlineStr">
        <is>
          <t xml:space="preserve">Summary lists each missing section: residential and mailing address, contact, KYC, financial profile, compliance declaration and product; no errors for the completed Client section. (Beneficiaries are optional - estate assignment applies; missing documents are not listed because of DEF-DOC-001, covered by TC-DOC-04.)</t>
        </is>
      </c>
      <c r="L91" s="31" t="inlineStr">
        <is>
          <t>High</t>
        </is>
      </c>
      <c r="M91" s="31" t="inlineStr">
        <is>
          <t>P1</t>
        </is>
      </c>
      <c r="N91" s="31" t="n">
        <v>2</v>
      </c>
      <c r="O91" s="32" t="inlineStr">
        <is>
          <t>@regression documents</t>
        </is>
      </c>
      <c r="P91" s="32" t="inlineStr">
        <is>
          <t>Screenshot of summary</t>
        </is>
      </c>
      <c r="Q91" s="31" t="inlineStr">
        <is>
          <t xml:space="preserve">Automated</t>
        </is>
      </c>
      <c r="R91" s="32" t="inlineStr">
        <is>
          <t>tests/documents/validation-summary.spec.ts</t>
        </is>
      </c>
      <c r="S91" s="31" t="inlineStr">
        <is>
          <t xml:space="preserve">Pass</t>
        </is>
      </c>
      <c r="T91" s="32" t="inlineStr">
        <is>
          <t xml:space="preserve">Run 23-Oct-2026 (chromium, --workers=1): Pass. Steps/expected result updated to match the app: Expected sections aligned with what the app validates.</t>
        </is>
      </c>
      <c r="U91" s="31" t="inlineStr">
        <is>
          <t>N</t>
        </is>
      </c>
      <c r="V91" s="31" t="inlineStr">
        <is>
          <t>Positive</t>
        </is>
      </c>
      <c r="W91" s="32" t="inlineStr">
        <is>
          <t>-</t>
        </is>
      </c>
      <c r="X91" s="32" t="inlineStr">
        <is>
          <t>Creates its own application via fixture (independent; unique generated data).</t>
        </is>
      </c>
    </row>
    <row r="92" s="23">
      <c r="A92" s="31" t="inlineStr">
        <is>
          <t>TC-VAL-02</t>
        </is>
      </c>
      <c r="B92" s="32" t="inlineStr">
        <is>
          <t>Clicking a validation error navigates to the field</t>
        </is>
      </c>
      <c r="C92" s="32" t="inlineStr">
        <is>
          <t>Documents &amp; Validation</t>
        </is>
      </c>
      <c r="D92" s="31" t="inlineStr">
        <is>
          <t>UI</t>
        </is>
      </c>
      <c r="E92" s="32" t="inlineStr">
        <is>
          <t>VAL-V02</t>
        </is>
      </c>
      <c r="F92" s="32" t="inlineStr">
        <is>
          <t>QR-08</t>
        </is>
      </c>
      <c r="G92" s="32" t="inlineStr">
        <is>
          <t>Error link does not focus field</t>
        </is>
      </c>
      <c r="H92" s="32" t="inlineStr">
        <is>
          <t>Summary showing at least one error.</t>
        </is>
      </c>
      <c r="I92" s="32" t="inlineStr">
        <is>
          <t>1. Click an item in the summary.</t>
        </is>
      </c>
      <c r="J92" s="32" t="inlineStr">
        <is>
          <t>Any error item</t>
        </is>
      </c>
      <c r="K92" s="32" t="inlineStr">
        <is>
          <t>App navigates to the related section and focuses the field.</t>
        </is>
      </c>
      <c r="L92" s="31" t="inlineStr">
        <is>
          <t>Medium</t>
        </is>
      </c>
      <c r="M92" s="31" t="inlineStr">
        <is>
          <t>P2</t>
        </is>
      </c>
      <c r="N92" s="31" t="n">
        <v>3</v>
      </c>
      <c r="O92" s="32" t="inlineStr">
        <is>
          <t>@regression documents</t>
        </is>
      </c>
      <c r="P92" s="32" t="inlineStr">
        <is>
          <t>Screenshot / focus assertion</t>
        </is>
      </c>
      <c r="Q92" s="31" t="inlineStr">
        <is>
          <t xml:space="preserve">Automated</t>
        </is>
      </c>
      <c r="R92" s="32" t="inlineStr">
        <is>
          <t>tests/documents/validation-summary.spec.ts</t>
        </is>
      </c>
      <c r="S92" s="31" t="inlineStr">
        <is>
          <t xml:space="preserve">Skipped</t>
        </is>
      </c>
      <c r="T92" s="32" t="inlineStr">
        <is>
          <t xml:space="preserve">APP GAP - automated, reported as fixme: validation summary items are plain text, not links to the field. Requirement kept as designed.</t>
        </is>
      </c>
      <c r="U92" s="31" t="inlineStr">
        <is>
          <t>N</t>
        </is>
      </c>
      <c r="V92" s="31" t="inlineStr">
        <is>
          <t>Positive</t>
        </is>
      </c>
      <c r="W92" s="32" t="inlineStr">
        <is>
          <t>-</t>
        </is>
      </c>
      <c r="X92" s="32" t="inlineStr">
        <is>
          <t>Creates its own application via fixture (independent; unique generated data).</t>
        </is>
      </c>
    </row>
    <row r="93" s="23">
      <c r="A93" s="31" t="inlineStr">
        <is>
          <t>TC-VAL-03</t>
        </is>
      </c>
      <c r="B93" s="32" t="inlineStr">
        <is>
          <t>Submit stays disabled until critical errors are resolved</t>
        </is>
      </c>
      <c r="C93" s="32" t="inlineStr">
        <is>
          <t>Documents &amp; Validation</t>
        </is>
      </c>
      <c r="D93" s="31" t="inlineStr">
        <is>
          <t>UI</t>
        </is>
      </c>
      <c r="E93" s="32" t="inlineStr">
        <is>
          <t>VAL-V03</t>
        </is>
      </c>
      <c r="F93" s="32" t="inlineStr">
        <is>
          <t>QR-08, QR-09</t>
        </is>
      </c>
      <c r="G93" s="32" t="inlineStr">
        <is>
          <t>Submit enabled with errors</t>
        </is>
      </c>
      <c r="H93" s="32" t="inlineStr">
        <is>
          <t>Application with critical errors.</t>
        </is>
      </c>
      <c r="I93" s="32" t="inlineStr">
        <is>
          <t>1. Open /review for an application with critical errors; check Submit state.
2. Fix every error.
3. Re-check Submit state.</t>
        </is>
      </c>
      <c r="J93" s="32" t="inlineStr">
        <is>
          <t>Application from TC-VAL-01</t>
        </is>
      </c>
      <c r="K93" s="32" t="inlineStr">
        <is>
          <t>Disabled while errors exist; enabled when clean; summary refreshes after upstream change (not stale).
Also verify: the rejected value is not saved (reload or GET shows the previous/empty value).</t>
        </is>
      </c>
      <c r="L93" s="31" t="inlineStr">
        <is>
          <t>Critical</t>
        </is>
      </c>
      <c r="M93" s="31" t="inlineStr">
        <is>
          <t>P1</t>
        </is>
      </c>
      <c r="N93" s="31" t="n">
        <v>1</v>
      </c>
      <c r="O93" s="32" t="inlineStr">
        <is>
          <t>@smoke @regression documents</t>
        </is>
      </c>
      <c r="P93" s="32" t="inlineStr">
        <is>
          <t>Screenshots at each state</t>
        </is>
      </c>
      <c r="Q93" s="31" t="inlineStr">
        <is>
          <t xml:space="preserve">Automated</t>
        </is>
      </c>
      <c r="R93" s="32" t="inlineStr">
        <is>
          <t>tests/documents/validation-summary.spec.ts</t>
        </is>
      </c>
      <c r="S93" s="31" t="inlineStr">
        <is>
          <t xml:space="preserve">Pass</t>
        </is>
      </c>
      <c r="T93" s="32" t="inlineStr">
        <is>
          <t xml:space="preserve">Run 23-Oct-2026 (chromium, --workers=1): Pass.</t>
        </is>
      </c>
      <c r="U93" s="31" t="inlineStr">
        <is>
          <t>Y</t>
        </is>
      </c>
      <c r="V93" s="31" t="inlineStr">
        <is>
          <t>Negative</t>
        </is>
      </c>
      <c r="W93" s="32" t="inlineStr">
        <is>
          <t>-</t>
        </is>
      </c>
      <c r="X93" s="32" t="inlineStr">
        <is>
          <t>Creates its own application via fixture (independent; unique generated data).</t>
        </is>
      </c>
    </row>
    <row r="94" s="23">
      <c r="A94" s="31" t="inlineStr">
        <is>
          <t>TC-VAL-04</t>
        </is>
      </c>
      <c r="B94" s="32" t="inlineStr">
        <is>
          <t>Validation summary refreshes after upstream data changes (not stale)</t>
        </is>
      </c>
      <c r="C94" s="32" t="inlineStr">
        <is>
          <t>Documents &amp; Validation</t>
        </is>
      </c>
      <c r="D94" s="31" t="inlineStr">
        <is>
          <t>UI</t>
        </is>
      </c>
      <c r="E94" s="32" t="inlineStr">
        <is>
          <t>Risk QR-08: summary stale</t>
        </is>
      </c>
      <c r="F94" s="32" t="inlineStr">
        <is>
          <t>QR-08</t>
        </is>
      </c>
      <c r="G94" s="32" t="inlineStr">
        <is>
          <t xml:space="preserve">DEF-BEN-001 - Primary allocation mismatch allowed</t>
        </is>
      </c>
      <c r="H94" s="32" t="inlineStr">
        <is>
          <t>Application previously clean at review (submit enabled).</t>
        </is>
      </c>
      <c r="I94" s="32" t="inlineStr">
        <is>
          <t>1. Open /review: summary clean.
2. Go back and invalidate data (e.g. delete a beneficiary so total &lt; 100%).
3. Return to /review.</t>
        </is>
      </c>
      <c r="J94" s="32" t="inlineStr">
        <is>
          <t>Clean application</t>
        </is>
      </c>
      <c r="K94" s="32" t="inlineStr">
        <is>
          <t>Summary now shows the new error and Submit is disabled; no stale 'clean' state.</t>
        </is>
      </c>
      <c r="L94" s="31" t="inlineStr">
        <is>
          <t>High</t>
        </is>
      </c>
      <c r="M94" s="31" t="inlineStr">
        <is>
          <t>P1</t>
        </is>
      </c>
      <c r="N94" s="31" t="n">
        <v>2</v>
      </c>
      <c r="O94" s="32" t="inlineStr">
        <is>
          <t>@regression documents</t>
        </is>
      </c>
      <c r="P94" s="32" t="inlineStr">
        <is>
          <t>Screenshots before and after</t>
        </is>
      </c>
      <c r="Q94" s="31" t="inlineStr">
        <is>
          <t xml:space="preserve">Automated</t>
        </is>
      </c>
      <c r="R94" s="32" t="inlineStr">
        <is>
          <t>tests/documents/validation-summary.spec.ts</t>
        </is>
      </c>
      <c r="S94" s="31" t="inlineStr">
        <is>
          <t xml:space="preserve">Fail</t>
        </is>
      </c>
      <c r="T94" s="32" t="inlineStr">
        <is>
          <t xml:space="preserve">FAIL BY DESIGN - seeded defect DEF-BEN-001 (Primary allocation mismatch allowed): after removing a beneficiary (60% left) Review shows no errors. Run 23-Oct-2026 (chromium, --workers=1).</t>
        </is>
      </c>
      <c r="U94" s="31" t="inlineStr">
        <is>
          <t>N</t>
        </is>
      </c>
      <c r="V94" s="31" t="inlineStr">
        <is>
          <t>Positive</t>
        </is>
      </c>
      <c r="W94" s="32" t="inlineStr">
        <is>
          <t>-</t>
        </is>
      </c>
      <c r="X94" s="32" t="inlineStr">
        <is>
          <t>Creates its own application via fixture (independent; unique generated data).</t>
        </is>
      </c>
    </row>
    <row r="95" s="23">
      <c r="A95" s="31" t="inlineStr">
        <is>
          <t>TC-VAL-05</t>
        </is>
      </c>
      <c r="B95" s="32" t="inlineStr">
        <is>
          <t>Review page shows data consistent with what was entered</t>
        </is>
      </c>
      <c r="C95" s="32" t="inlineStr">
        <is>
          <t>Documents &amp; Validation</t>
        </is>
      </c>
      <c r="D95" s="31" t="inlineStr">
        <is>
          <t>UI</t>
        </is>
      </c>
      <c r="E95" s="32" t="inlineStr">
        <is>
          <t>Guideline: review consistency</t>
        </is>
      </c>
      <c r="F95" s="32" t="inlineStr">
        <is>
          <t>QR-08, QR-10</t>
        </is>
      </c>
      <c r="G95" s="32" t="inlineStr">
        <is>
          <t>Review data differs from entered data</t>
        </is>
      </c>
      <c r="H95" s="32" t="inlineStr">
        <is>
          <t>Fully completed application.</t>
        </is>
      </c>
      <c r="I95" s="32" t="inlineStr">
        <is>
          <t xml:space="preserve">1. Record values entered per step.
2. Open /review.
3. Compare the Application Snapshot.</t>
        </is>
      </c>
      <c r="J95" s="32" t="inlineStr">
        <is>
          <t>Generated application</t>
        </is>
      </c>
      <c r="K95" s="32" t="inlineStr">
        <is>
          <t xml:space="preserve">The Application Snapshot shows client name, calculated age, product, sum assured, premium frequency and total premium equal to the entered values. (Review has no address, rider, beneficiary or document section.)</t>
        </is>
      </c>
      <c r="L95" s="31" t="inlineStr">
        <is>
          <t>High</t>
        </is>
      </c>
      <c r="M95" s="31" t="inlineStr">
        <is>
          <t>P1</t>
        </is>
      </c>
      <c r="N95" s="31" t="n">
        <v>2</v>
      </c>
      <c r="O95" s="32" t="inlineStr">
        <is>
          <t>@regression documents</t>
        </is>
      </c>
      <c r="P95" s="32" t="inlineStr">
        <is>
          <t>Screenshot of review + comparison log</t>
        </is>
      </c>
      <c r="Q95" s="31" t="inlineStr">
        <is>
          <t xml:space="preserve">Automated</t>
        </is>
      </c>
      <c r="R95" s="32" t="inlineStr">
        <is>
          <t>tests/documents/review.spec.ts</t>
        </is>
      </c>
      <c r="S95" s="31" t="inlineStr">
        <is>
          <t xml:space="preserve">Pass</t>
        </is>
      </c>
      <c r="T95" s="32" t="inlineStr">
        <is>
          <t xml:space="preserve">Run 23-Oct-2026 (chromium, --workers=1): Pass. Steps/expected result updated to match the app: Compared only the fields the Review snapshot shows.</t>
        </is>
      </c>
      <c r="U95" s="31" t="inlineStr">
        <is>
          <t>N</t>
        </is>
      </c>
      <c r="V95" s="31" t="inlineStr">
        <is>
          <t>Positive</t>
        </is>
      </c>
      <c r="W95" s="32" t="inlineStr">
        <is>
          <t>-</t>
        </is>
      </c>
      <c r="X95" s="32" t="inlineStr">
        <is>
          <t>Creates its own application via fixture (independent; unique generated data).</t>
        </is>
      </c>
    </row>
    <row r="96" s="23">
      <c r="A96" s="31" t="inlineStr">
        <is>
          <t>TC-WF-01</t>
        </is>
      </c>
      <c r="B96" s="32" t="inlineStr">
        <is>
          <t>Incomplete application can be saved as draft</t>
        </is>
      </c>
      <c r="C96" s="32" t="inlineStr">
        <is>
          <t>Submission &amp; Status</t>
        </is>
      </c>
      <c r="D96" s="31" t="inlineStr">
        <is>
          <t>UI</t>
        </is>
      </c>
      <c r="E96" s="32" t="inlineStr">
        <is>
          <t>WF-V01</t>
        </is>
      </c>
      <c r="F96" s="32" t="inlineStr">
        <is>
          <t>QR-10</t>
        </is>
      </c>
      <c r="G96" s="32" t="inlineStr">
        <is>
          <t>Draft not persisted</t>
        </is>
      </c>
      <c r="H96" s="32" t="inlineStr">
        <is>
          <t>Logged in; new application started.</t>
        </is>
      </c>
      <c r="I96" s="32" t="inlineStr">
        <is>
          <t>1. Enter partial client data.
2. Click Save draft.
3. Go to dashboard.</t>
        </is>
      </c>
      <c r="J96" s="32" t="inlineStr">
        <is>
          <t>Partial client data</t>
        </is>
      </c>
      <c r="K96" s="32" t="inlineStr">
        <is>
          <t>Dashboard shows a Draft row for the application.</t>
        </is>
      </c>
      <c r="L96" s="31" t="inlineStr">
        <is>
          <t>High</t>
        </is>
      </c>
      <c r="M96" s="31" t="inlineStr">
        <is>
          <t>P1</t>
        </is>
      </c>
      <c r="N96" s="31" t="n">
        <v>2</v>
      </c>
      <c r="O96" s="32" t="inlineStr">
        <is>
          <t>@regression workflow</t>
        </is>
      </c>
      <c r="P96" s="32" t="inlineStr">
        <is>
          <t>Screenshot of dashboard row</t>
        </is>
      </c>
      <c r="Q96" s="31" t="inlineStr">
        <is>
          <t xml:space="preserve">Automated</t>
        </is>
      </c>
      <c r="R96" s="32" t="inlineStr">
        <is>
          <t>tests/workflow/draft.spec.ts</t>
        </is>
      </c>
      <c r="S96" s="31" t="inlineStr">
        <is>
          <t xml:space="preserve">Pass</t>
        </is>
      </c>
      <c r="T96" s="32" t="inlineStr">
        <is>
          <t xml:space="preserve">Run 23-Oct-2026 (chromium, --workers=1): Pass.</t>
        </is>
      </c>
      <c r="U96" s="31" t="inlineStr">
        <is>
          <t>N</t>
        </is>
      </c>
      <c r="V96" s="31" t="inlineStr">
        <is>
          <t>Positive</t>
        </is>
      </c>
      <c r="W96" s="32" t="inlineStr">
        <is>
          <t>DB (if approved): status = Draft</t>
        </is>
      </c>
      <c r="X96" s="32" t="inlineStr">
        <is>
          <t>Creates its own application via fixture (independent; unique generated data).</t>
        </is>
      </c>
    </row>
    <row r="97" s="23">
      <c r="A97" s="31" t="inlineStr">
        <is>
          <t>TC-WF-02</t>
        </is>
      </c>
      <c r="B97" s="32" t="inlineStr">
        <is>
          <t>Draft resumes with saved data at correct step</t>
        </is>
      </c>
      <c r="C97" s="32" t="inlineStr">
        <is>
          <t>Submission &amp; Status</t>
        </is>
      </c>
      <c r="D97" s="31" t="inlineStr">
        <is>
          <t>UI</t>
        </is>
      </c>
      <c r="E97" s="32" t="inlineStr">
        <is>
          <t>WF-V02</t>
        </is>
      </c>
      <c r="F97" s="32" t="inlineStr">
        <is>
          <t>QR-10</t>
        </is>
      </c>
      <c r="G97" s="32" t="inlineStr">
        <is>
          <t>Draft data lost</t>
        </is>
      </c>
      <c r="H97" s="32" t="inlineStr">
        <is>
          <t>Draft from TC-WF-01.</t>
        </is>
      </c>
      <c r="I97" s="32" t="inlineStr">
        <is>
          <t>1. Open draft from dashboard.
2. Inspect values.</t>
        </is>
      </c>
      <c r="J97" s="32" t="inlineStr">
        <is>
          <t>Draft created in setup</t>
        </is>
      </c>
      <c r="K97" s="32" t="inlineStr">
        <is>
          <t>Saved values and step restored.</t>
        </is>
      </c>
      <c r="L97" s="31" t="inlineStr">
        <is>
          <t>High</t>
        </is>
      </c>
      <c r="M97" s="31" t="inlineStr">
        <is>
          <t>P1</t>
        </is>
      </c>
      <c r="N97" s="31" t="n">
        <v>2</v>
      </c>
      <c r="O97" s="32" t="inlineStr">
        <is>
          <t>@regression workflow</t>
        </is>
      </c>
      <c r="P97" s="32" t="inlineStr">
        <is>
          <t>Screenshot</t>
        </is>
      </c>
      <c r="Q97" s="31" t="inlineStr">
        <is>
          <t xml:space="preserve">Automated</t>
        </is>
      </c>
      <c r="R97" s="32" t="inlineStr">
        <is>
          <t>tests/workflow/draft.spec.ts</t>
        </is>
      </c>
      <c r="S97" s="31" t="inlineStr">
        <is>
          <t xml:space="preserve">Pass</t>
        </is>
      </c>
      <c r="T97" s="32" t="inlineStr">
        <is>
          <t xml:space="preserve">Run 23-Oct-2026 (chromium, --workers=1): Pass.</t>
        </is>
      </c>
      <c r="U97" s="31" t="inlineStr">
        <is>
          <t>N</t>
        </is>
      </c>
      <c r="V97" s="31" t="inlineStr">
        <is>
          <t>Positive</t>
        </is>
      </c>
      <c r="W97" s="32" t="inlineStr">
        <is>
          <t>-</t>
        </is>
      </c>
      <c r="X97" s="32" t="inlineStr">
        <is>
          <t>Creates its own application via fixture (independent; unique generated data).</t>
        </is>
      </c>
    </row>
    <row r="98" s="23">
      <c r="A98" s="31" t="inlineStr">
        <is>
          <t>TC-WF-03</t>
        </is>
      </c>
      <c r="B98" s="32" t="inlineStr">
        <is>
          <t>Valid application is submitted end to end and gets a reference number</t>
        </is>
      </c>
      <c r="C98" s="32" t="inlineStr">
        <is>
          <t>Submission &amp; Status</t>
        </is>
      </c>
      <c r="D98" s="31" t="inlineStr">
        <is>
          <t>E2E</t>
        </is>
      </c>
      <c r="E98" s="32" t="inlineStr">
        <is>
          <t>WF-V03</t>
        </is>
      </c>
      <c r="F98" s="32" t="inlineStr">
        <is>
          <t>QR-09</t>
        </is>
      </c>
      <c r="G98" s="32" t="inlineStr">
        <is>
          <t>Incomplete/no reference on submit</t>
        </is>
      </c>
      <c r="H98" s="32" t="inlineStr">
        <is>
          <t>Valid agent; all test files and data available.</t>
        </is>
      </c>
      <c r="I98" s="32" t="inlineStr">
        <is>
          <t>1. Login.
2. Start new application.
3. Complete Client, Address, KYC, Product, Riders, Beneficiaries, Documents.
4. Review summary clean.
5. Submit.
6. Read confirmation.</t>
        </is>
      </c>
      <c r="J98" s="32" t="inlineStr">
        <is>
          <t>Generated valid application</t>
        </is>
      </c>
      <c r="K98" s="32" t="inlineStr">
        <is>
          <t>Confirmation shows non-empty reference number; no validation errors.</t>
        </is>
      </c>
      <c r="L98" s="31" t="inlineStr">
        <is>
          <t>Critical</t>
        </is>
      </c>
      <c r="M98" s="31" t="inlineStr">
        <is>
          <t>P1</t>
        </is>
      </c>
      <c r="N98" s="31" t="n">
        <v>1</v>
      </c>
      <c r="O98" s="32" t="inlineStr">
        <is>
          <t>@smoke @e2e workflow</t>
        </is>
      </c>
      <c r="P98" s="32" t="inlineStr">
        <is>
          <t>Trace of full flow; confirmation screenshot</t>
        </is>
      </c>
      <c r="Q98" s="31" t="inlineStr">
        <is>
          <t xml:space="preserve">Automated</t>
        </is>
      </c>
      <c r="R98" s="32" t="inlineStr">
        <is>
          <t>tests/workflow/e2e-submission.spec.ts</t>
        </is>
      </c>
      <c r="S98" s="31" t="inlineStr">
        <is>
          <t xml:space="preserve">Pass</t>
        </is>
      </c>
      <c r="T98" s="32" t="inlineStr">
        <is>
          <t xml:space="preserve">Run 23-Oct-2026 (chromium, --workers=1): Pass.</t>
        </is>
      </c>
      <c r="U98" s="31" t="inlineStr">
        <is>
          <t>Y</t>
        </is>
      </c>
      <c r="V98" s="31" t="inlineStr">
        <is>
          <t>Positive</t>
        </is>
      </c>
      <c r="W98" s="32" t="inlineStr">
        <is>
          <t>API: status = Submitted; DB: reference unique</t>
        </is>
      </c>
      <c r="X98" s="32" t="inlineStr">
        <is>
          <t>Creates its own application; submission cannot be undone - unique generated data.</t>
        </is>
      </c>
    </row>
    <row r="99" s="23">
      <c r="A99" s="31" t="inlineStr">
        <is>
          <t>TC-WF-04</t>
        </is>
      </c>
      <c r="B99" s="32" t="inlineStr">
        <is>
          <t>Submitted application is read-only</t>
        </is>
      </c>
      <c r="C99" s="32" t="inlineStr">
        <is>
          <t>Submission &amp; Status</t>
        </is>
      </c>
      <c r="D99" s="31" t="inlineStr">
        <is>
          <t>UI</t>
        </is>
      </c>
      <c r="E99" s="32" t="inlineStr">
        <is>
          <t>WF-V04</t>
        </is>
      </c>
      <c r="F99" s="32" t="inlineStr">
        <is>
          <t>QR-09</t>
        </is>
      </c>
      <c r="G99" s="32" t="inlineStr">
        <is>
          <t>Submitted app editable</t>
        </is>
      </c>
      <c r="H99" s="32" t="inlineStr">
        <is>
          <t>Submitted application exists.</t>
        </is>
      </c>
      <c r="I99" s="32" t="inlineStr">
        <is>
          <t>1. Open submitted application.
2. Try editing fields and saving.</t>
        </is>
      </c>
      <c r="J99" s="32" t="inlineStr">
        <is>
          <t>Submitted application id</t>
        </is>
      </c>
      <c r="K99" s="32" t="inlineStr">
        <is>
          <t>Fields disabled/read-only; edit controls absent.</t>
        </is>
      </c>
      <c r="L99" s="31" t="inlineStr">
        <is>
          <t>High</t>
        </is>
      </c>
      <c r="M99" s="31" t="inlineStr">
        <is>
          <t>P1</t>
        </is>
      </c>
      <c r="N99" s="31" t="n">
        <v>2</v>
      </c>
      <c r="O99" s="32" t="inlineStr">
        <is>
          <t>@regression workflow</t>
        </is>
      </c>
      <c r="P99" s="32" t="inlineStr">
        <is>
          <t>Screenshot</t>
        </is>
      </c>
      <c r="Q99" s="31" t="inlineStr">
        <is>
          <t xml:space="preserve">Automated</t>
        </is>
      </c>
      <c r="R99" s="32" t="inlineStr">
        <is>
          <t>tests/workflow/submission.spec.ts</t>
        </is>
      </c>
      <c r="S99" s="31" t="inlineStr">
        <is>
          <t xml:space="preserve">Fail</t>
        </is>
      </c>
      <c r="T99" s="32" t="inlineStr">
        <is>
          <t xml:space="preserve">NEW DEFECT (not in the seeded catalog): client fields (first_name) are still editable after submission. Run 23-Oct-2026 (chromium, --workers=1).</t>
        </is>
      </c>
      <c r="U99" s="31" t="inlineStr">
        <is>
          <t>N</t>
        </is>
      </c>
      <c r="V99" s="31" t="inlineStr">
        <is>
          <t>Positive</t>
        </is>
      </c>
      <c r="W99" s="32" t="inlineStr">
        <is>
          <t>API: POST update rejected for submitted application</t>
        </is>
      </c>
      <c r="X99" s="32" t="inlineStr">
        <is>
          <t>Read-only seeded submitted application.</t>
        </is>
      </c>
    </row>
    <row r="100" s="23">
      <c r="A100" s="31" t="inlineStr">
        <is>
          <t>TC-WF-05</t>
        </is>
      </c>
      <c r="B100" s="32" t="inlineStr">
        <is>
          <t>Confirmation/status message shown after submission</t>
        </is>
      </c>
      <c r="C100" s="32" t="inlineStr">
        <is>
          <t>Submission &amp; Status</t>
        </is>
      </c>
      <c r="D100" s="31" t="inlineStr">
        <is>
          <t>UI</t>
        </is>
      </c>
      <c r="E100" s="32" t="inlineStr">
        <is>
          <t>WF-V05</t>
        </is>
      </c>
      <c r="F100" s="32" t="inlineStr">
        <is>
          <t>QR-09</t>
        </is>
      </c>
      <c r="G100" s="32" t="inlineStr">
        <is>
          <t>Missing confirmation</t>
        </is>
      </c>
      <c r="H100" s="32" t="inlineStr">
        <is>
          <t>Run in E2E flow.</t>
        </is>
      </c>
      <c r="I100" s="32" t="inlineStr">
        <is>
          <t>1. Submit valid application.
2. Read confirmation page.</t>
        </is>
      </c>
      <c r="J100" s="32" t="inlineStr">
        <is>
          <t>-</t>
        </is>
      </c>
      <c r="K100" s="32" t="inlineStr">
        <is>
          <t>Confirmation message (email simulation/status) displayed.</t>
        </is>
      </c>
      <c r="L100" s="31" t="inlineStr">
        <is>
          <t>Medium</t>
        </is>
      </c>
      <c r="M100" s="31" t="inlineStr">
        <is>
          <t>P2</t>
        </is>
      </c>
      <c r="N100" s="31" t="n">
        <v>2</v>
      </c>
      <c r="O100" s="32" t="inlineStr">
        <is>
          <t>@regression workflow</t>
        </is>
      </c>
      <c r="P100" s="32" t="inlineStr">
        <is>
          <t>Screenshot</t>
        </is>
      </c>
      <c r="Q100" s="31" t="inlineStr">
        <is>
          <t xml:space="preserve">Automated</t>
        </is>
      </c>
      <c r="R100" s="32" t="inlineStr">
        <is>
          <t>tests/workflow/submission.spec.ts</t>
        </is>
      </c>
      <c r="S100" s="31" t="inlineStr">
        <is>
          <t xml:space="preserve">Pass</t>
        </is>
      </c>
      <c r="T100" s="32" t="inlineStr">
        <is>
          <t xml:space="preserve">Run 23-Oct-2026 (chromium, --workers=1): Pass.</t>
        </is>
      </c>
      <c r="U100" s="31" t="inlineStr">
        <is>
          <t>N</t>
        </is>
      </c>
      <c r="V100" s="31" t="inlineStr">
        <is>
          <t>Positive</t>
        </is>
      </c>
      <c r="W100" s="32" t="inlineStr">
        <is>
          <t>-</t>
        </is>
      </c>
      <c r="X100" s="32" t="inlineStr">
        <is>
          <t>Creates its own application via fixture (independent; unique generated data).</t>
        </is>
      </c>
    </row>
    <row r="101" s="23">
      <c r="A101" s="31" t="inlineStr">
        <is>
          <t>TC-WF-06</t>
        </is>
      </c>
      <c r="B101" s="32" t="inlineStr">
        <is>
          <t>Dashboard status updates to Submitted after submission</t>
        </is>
      </c>
      <c r="C101" s="32" t="inlineStr">
        <is>
          <t>Submission &amp; Status</t>
        </is>
      </c>
      <c r="D101" s="31" t="inlineStr">
        <is>
          <t>UI</t>
        </is>
      </c>
      <c r="E101" s="32" t="inlineStr">
        <is>
          <t>WF-V06</t>
        </is>
      </c>
      <c r="F101" s="32" t="inlineStr">
        <is>
          <t>QR-02, QR-09</t>
        </is>
      </c>
      <c r="G101" s="32" t="inlineStr">
        <is>
          <t xml:space="preserve">DEF-STATUS-001 - Dashboard status wrong (not reproduced: dashboard shows SUBMITTED)</t>
        </is>
      </c>
      <c r="H101" s="32" t="inlineStr">
        <is>
          <t>Application just submitted.</t>
        </is>
      </c>
      <c r="I101" s="32" t="inlineStr">
        <is>
          <t xml:space="preserve">1. Go to the dashboard.
2. Find the application by its reference number (WL...).</t>
        </is>
      </c>
      <c r="J101" s="32" t="inlineStr">
        <is>
          <t>Submitted application</t>
        </is>
      </c>
      <c r="K101" s="32" t="inlineStr">
        <is>
          <t xml:space="preserve">Status shows SUBMITTED. (Submitted rows are listed by reference number, drafts as "Draft #id".)</t>
        </is>
      </c>
      <c r="L101" s="31" t="inlineStr">
        <is>
          <t>High</t>
        </is>
      </c>
      <c r="M101" s="31" t="inlineStr">
        <is>
          <t>P1</t>
        </is>
      </c>
      <c r="N101" s="31" t="n">
        <v>2</v>
      </c>
      <c r="O101" s="32" t="inlineStr">
        <is>
          <t>@regression workflow</t>
        </is>
      </c>
      <c r="P101" s="32" t="inlineStr">
        <is>
          <t>Screenshot</t>
        </is>
      </c>
      <c r="Q101" s="31" t="inlineStr">
        <is>
          <t xml:space="preserve">Automated</t>
        </is>
      </c>
      <c r="R101" s="32" t="inlineStr">
        <is>
          <t>tests/workflow/submission.spec.ts</t>
        </is>
      </c>
      <c r="S101" s="31" t="inlineStr">
        <is>
          <t xml:space="preserve">Pass</t>
        </is>
      </c>
      <c r="T101" s="32" t="inlineStr">
        <is>
          <t xml:space="preserve">Run 23-Oct-2026 (chromium, --workers=1): Pass. Steps/expected result updated to match the app: Row is found by reference number. Seeded DEF-STATUS-001 did not reproduce in the UI.</t>
        </is>
      </c>
      <c r="U101" s="31" t="inlineStr">
        <is>
          <t>N</t>
        </is>
      </c>
      <c r="V101" s="31" t="inlineStr">
        <is>
          <t>Positive</t>
        </is>
      </c>
      <c r="W101" s="32" t="inlineStr">
        <is>
          <t>API: GET status</t>
        </is>
      </c>
      <c r="X101" s="32" t="inlineStr">
        <is>
          <t>Creates its own application via fixture (independent; unique generated data).</t>
        </is>
      </c>
    </row>
    <row r="102" s="23">
      <c r="A102" s="31" t="inlineStr">
        <is>
          <t>TC-WF-07</t>
        </is>
      </c>
      <c r="B102" s="32" t="inlineStr">
        <is>
          <t>Application detail status matches status API</t>
        </is>
      </c>
      <c r="C102" s="32" t="inlineStr">
        <is>
          <t>Submission &amp; Status</t>
        </is>
      </c>
      <c r="D102" s="31" t="inlineStr">
        <is>
          <t>UI</t>
        </is>
      </c>
      <c r="E102" s="32" t="inlineStr">
        <is>
          <t>WF-V07</t>
        </is>
      </c>
      <c r="F102" s="32" t="inlineStr">
        <is>
          <t>QR-09</t>
        </is>
      </c>
      <c r="G102" s="32" t="inlineStr">
        <is>
          <t>Status differs from backend</t>
        </is>
      </c>
      <c r="H102" s="32" t="inlineStr">
        <is>
          <t>Submitted application.</t>
        </is>
      </c>
      <c r="I102" s="32" t="inlineStr">
        <is>
          <t>1. Open /applications/:id/status.
2. Call GET /api/applications/{id}/status.
3. Compare.</t>
        </is>
      </c>
      <c r="J102" s="32" t="inlineStr">
        <is>
          <t>Submitted application</t>
        </is>
      </c>
      <c r="K102" s="32" t="inlineStr">
        <is>
          <t>UI status equals API status.</t>
        </is>
      </c>
      <c r="L102" s="31" t="inlineStr">
        <is>
          <t>High</t>
        </is>
      </c>
      <c r="M102" s="31" t="inlineStr">
        <is>
          <t>P2</t>
        </is>
      </c>
      <c r="N102" s="31" t="n">
        <v>2</v>
      </c>
      <c r="O102" s="32" t="inlineStr">
        <is>
          <t>@regression workflow @api</t>
        </is>
      </c>
      <c r="P102" s="32" t="inlineStr">
        <is>
          <t>UI vs API values in log</t>
        </is>
      </c>
      <c r="Q102" s="31" t="inlineStr">
        <is>
          <t xml:space="preserve">Automated</t>
        </is>
      </c>
      <c r="R102" s="32" t="inlineStr">
        <is>
          <t>tests/workflow/status.spec.ts</t>
        </is>
      </c>
      <c r="S102" s="31" t="inlineStr">
        <is>
          <t xml:space="preserve">Pass</t>
        </is>
      </c>
      <c r="T102" s="32" t="inlineStr">
        <is>
          <t xml:space="preserve">Run 23-Oct-2026 (chromium, --workers=1): Pass.</t>
        </is>
      </c>
      <c r="U102" s="31" t="inlineStr">
        <is>
          <t>N</t>
        </is>
      </c>
      <c r="V102" s="31" t="inlineStr">
        <is>
          <t>Positive</t>
        </is>
      </c>
      <c r="W102" s="32" t="inlineStr">
        <is>
          <t>-</t>
        </is>
      </c>
      <c r="X102" s="32" t="inlineStr">
        <is>
          <t>Creates its own application via fixture (independent; unique generated data).</t>
        </is>
      </c>
    </row>
    <row r="103" s="23">
      <c r="A103" s="31" t="inlineStr">
        <is>
          <t>TC-WF-08</t>
        </is>
      </c>
      <c r="B103" s="32" t="inlineStr">
        <is>
          <t>Reference numbers are unique across submissions</t>
        </is>
      </c>
      <c r="C103" s="32" t="inlineStr">
        <is>
          <t>Submission &amp; Status</t>
        </is>
      </c>
      <c r="D103" s="31" t="inlineStr">
        <is>
          <t>E2E</t>
        </is>
      </c>
      <c r="E103" s="32" t="inlineStr">
        <is>
          <t>Risk QR-09</t>
        </is>
      </c>
      <c r="F103" s="32" t="inlineStr">
        <is>
          <t>QR-09</t>
        </is>
      </c>
      <c r="G103" s="32" t="inlineStr">
        <is>
          <t>No or duplicate reference number</t>
        </is>
      </c>
      <c r="H103" s="32" t="inlineStr">
        <is>
          <t>Two valid applications ready to submit.</t>
        </is>
      </c>
      <c r="I103" s="32" t="inlineStr">
        <is>
          <t>1. Submit application A; note reference.
2. Submit application B; note reference.</t>
        </is>
      </c>
      <c r="J103" s="32" t="inlineStr">
        <is>
          <t>Two generated applications</t>
        </is>
      </c>
      <c r="K103" s="32" t="inlineStr">
        <is>
          <t>References are non-empty and different.</t>
        </is>
      </c>
      <c r="L103" s="31" t="inlineStr">
        <is>
          <t>High</t>
        </is>
      </c>
      <c r="M103" s="31" t="inlineStr">
        <is>
          <t>P2</t>
        </is>
      </c>
      <c r="N103" s="31" t="n">
        <v>3</v>
      </c>
      <c r="O103" s="32" t="inlineStr">
        <is>
          <t>@regression @e2e workflow</t>
        </is>
      </c>
      <c r="P103" s="32" t="inlineStr">
        <is>
          <t>Both references in log</t>
        </is>
      </c>
      <c r="Q103" s="31" t="inlineStr">
        <is>
          <t xml:space="preserve">Automated</t>
        </is>
      </c>
      <c r="R103" s="32" t="inlineStr">
        <is>
          <t>tests/workflow/e2e-submission.spec.ts</t>
        </is>
      </c>
      <c r="S103" s="31" t="inlineStr">
        <is>
          <t xml:space="preserve">Pass</t>
        </is>
      </c>
      <c r="T103" s="32" t="inlineStr">
        <is>
          <t xml:space="preserve">Run 23-Oct-2026 (chromium, --workers=1): Pass.</t>
        </is>
      </c>
      <c r="U103" s="31" t="inlineStr">
        <is>
          <t>N</t>
        </is>
      </c>
      <c r="V103" s="31" t="inlineStr">
        <is>
          <t>Positive</t>
        </is>
      </c>
      <c r="W103" s="32" t="inlineStr">
        <is>
          <t>-</t>
        </is>
      </c>
      <c r="X103" s="32" t="inlineStr">
        <is>
          <t>Creates two applications; unique data.</t>
        </is>
      </c>
    </row>
    <row r="104" s="23">
      <c r="A104" s="31" t="inlineStr">
        <is>
          <t>TC-WF-09</t>
        </is>
      </c>
      <c r="B104" s="32" t="inlineStr">
        <is>
          <t>Status history records Draft to Submitted with timestamps</t>
        </is>
      </c>
      <c r="C104" s="32" t="inlineStr">
        <is>
          <t>Submission &amp; Status</t>
        </is>
      </c>
      <c r="D104" s="31" t="inlineStr">
        <is>
          <t>UI</t>
        </is>
      </c>
      <c r="E104" s="32" t="inlineStr">
        <is>
          <t>Risk QR-09</t>
        </is>
      </c>
      <c r="F104" s="32" t="inlineStr">
        <is>
          <t>QR-09, QR-10</t>
        </is>
      </c>
      <c r="G104" s="32" t="inlineStr">
        <is>
          <t>Status history gaps</t>
        </is>
      </c>
      <c r="H104" s="32" t="inlineStr">
        <is>
          <t>Submitted application.</t>
        </is>
      </c>
      <c r="I104" s="32" t="inlineStr">
        <is>
          <t>1. Open /applications/:id/status.
2. Read history entries.</t>
        </is>
      </c>
      <c r="J104" s="32" t="inlineStr">
        <is>
          <t>Submitted application</t>
        </is>
      </c>
      <c r="K104" s="32" t="inlineStr">
        <is>
          <t>History contains Draft and Submitted entries in order with timestamps.</t>
        </is>
      </c>
      <c r="L104" s="31" t="inlineStr">
        <is>
          <t>Medium</t>
        </is>
      </c>
      <c r="M104" s="31" t="inlineStr">
        <is>
          <t>P3</t>
        </is>
      </c>
      <c r="N104" s="31" t="n">
        <v>3</v>
      </c>
      <c r="O104" s="32" t="inlineStr">
        <is>
          <t>@regression workflow</t>
        </is>
      </c>
      <c r="P104" s="32" t="inlineStr">
        <is>
          <t>Screenshot of history</t>
        </is>
      </c>
      <c r="Q104" s="31" t="inlineStr">
        <is>
          <t xml:space="preserve">Automated</t>
        </is>
      </c>
      <c r="R104" s="32" t="inlineStr">
        <is>
          <t>tests/workflow/status.spec.ts</t>
        </is>
      </c>
      <c r="S104" s="31" t="inlineStr">
        <is>
          <t xml:space="preserve">Skipped</t>
        </is>
      </c>
      <c r="T104" s="32" t="inlineStr">
        <is>
          <t xml:space="preserve">APP GAP - automated, reported as fixme: status history records only the SUBMITTED entry, no Draft entry. Requirement kept as designed.</t>
        </is>
      </c>
      <c r="U104" s="31" t="inlineStr">
        <is>
          <t>N</t>
        </is>
      </c>
      <c r="V104" s="31" t="inlineStr">
        <is>
          <t>Positive</t>
        </is>
      </c>
      <c r="W104" s="32" t="inlineStr">
        <is>
          <t>-</t>
        </is>
      </c>
      <c r="X104" s="32" t="inlineStr">
        <is>
          <t>Creates its own application via fixture (independent; unique generated data).</t>
        </is>
      </c>
    </row>
    <row r="105" s="23">
      <c r="A105" s="31" t="inlineStr">
        <is>
          <t>TC-WF-10</t>
        </is>
      </c>
      <c r="B105" s="32" t="inlineStr">
        <is>
          <t>Smoke path: login, create application, complete main screens, reach review</t>
        </is>
      </c>
      <c r="C105" s="32" t="inlineStr">
        <is>
          <t>Submission &amp; Status</t>
        </is>
      </c>
      <c r="D105" s="31" t="inlineStr">
        <is>
          <t>E2E</t>
        </is>
      </c>
      <c r="E105" s="32" t="inlineStr">
        <is>
          <t>Guideline build sequence step 5</t>
        </is>
      </c>
      <c r="F105" s="32" t="inlineStr">
        <is>
          <t>QR-09, QR-10</t>
        </is>
      </c>
      <c r="G105" s="32" t="inlineStr">
        <is>
          <t>Main flow broken before review</t>
        </is>
      </c>
      <c r="H105" s="32" t="inlineStr">
        <is>
          <t>Valid agent; test files available.</t>
        </is>
      </c>
      <c r="I105" s="32" t="inlineStr">
        <is>
          <t>1. Login.
2. Start new application.
3. Complete Client, Address, KYC, Product, Riders, Beneficiaries, Documents.
4. Open /review.</t>
        </is>
      </c>
      <c r="J105" s="32" t="inlineStr">
        <is>
          <t>Generated valid application</t>
        </is>
      </c>
      <c r="K105" s="32" t="inlineStr">
        <is>
          <t>Every step advances; review page opens with an empty summary and Submit enabled (no submission performed).</t>
        </is>
      </c>
      <c r="L105" s="31" t="inlineStr">
        <is>
          <t>Critical</t>
        </is>
      </c>
      <c r="M105" s="31" t="inlineStr">
        <is>
          <t>P1</t>
        </is>
      </c>
      <c r="N105" s="31" t="n">
        <v>1</v>
      </c>
      <c r="O105" s="32" t="inlineStr">
        <is>
          <t>@smoke @e2e workflow</t>
        </is>
      </c>
      <c r="P105" s="32" t="inlineStr">
        <is>
          <t>Trace of complete path; screenshot of review</t>
        </is>
      </c>
      <c r="Q105" s="31" t="inlineStr">
        <is>
          <t xml:space="preserve">Automated</t>
        </is>
      </c>
      <c r="R105" s="32" t="inlineStr">
        <is>
          <t>tests/workflow/smoke-to-review.spec.ts</t>
        </is>
      </c>
      <c r="S105" s="31" t="inlineStr">
        <is>
          <t xml:space="preserve">Pass</t>
        </is>
      </c>
      <c r="T105" s="32" t="inlineStr">
        <is>
          <t xml:space="preserve">Run 23-Oct-2026 (chromium, --workers=1): Pass.</t>
        </is>
      </c>
      <c r="U105" s="31" t="inlineStr">
        <is>
          <t>Y</t>
        </is>
      </c>
      <c r="V105" s="31" t="inlineStr">
        <is>
          <t>Positive</t>
        </is>
      </c>
      <c r="W105" s="32" t="inlineStr">
        <is>
          <t>-</t>
        </is>
      </c>
      <c r="X105" s="32" t="inlineStr">
        <is>
          <t>Creates its own application via fixture (independent; unique generated data).</t>
        </is>
      </c>
    </row>
    <row r="106" s="23">
      <c r="A106" s="31" t="inlineStr">
        <is>
          <t>TC-WF-11</t>
        </is>
      </c>
      <c r="B106" s="32" t="inlineStr">
        <is>
          <t>Re-submitting a submitted application does not create a second reference or change status</t>
        </is>
      </c>
      <c r="C106" s="32" t="inlineStr">
        <is>
          <t>Submission &amp; Status</t>
        </is>
      </c>
      <c r="D106" s="31" t="inlineStr">
        <is>
          <t>E2E</t>
        </is>
      </c>
      <c r="E106" s="32" t="inlineStr">
        <is>
          <t>Risk QR-09: duplicate reference</t>
        </is>
      </c>
      <c r="F106" s="32" t="inlineStr">
        <is>
          <t>QR-09</t>
        </is>
      </c>
      <c r="G106" s="32" t="inlineStr">
        <is>
          <t>Duplicate reference / double submit</t>
        </is>
      </c>
      <c r="H106" s="32" t="inlineStr">
        <is>
          <t>Submitted application; double-click possible on submit button.</t>
        </is>
      </c>
      <c r="I106" s="32" t="inlineStr">
        <is>
          <t>1. Submit a valid application with a rapid double click.
2. Note reference.
3. POST /api/applications/{id}/submit again.
4. Read status and reference.</t>
        </is>
      </c>
      <c r="J106" s="32" t="inlineStr">
        <is>
          <t>Valid application</t>
        </is>
      </c>
      <c r="K106" s="32" t="inlineStr">
        <is>
          <t>Only one reference exists; second submit is rejected or idempotent; status remains Submitted; history shows one Submitted entry.</t>
        </is>
      </c>
      <c r="L106" s="31" t="inlineStr">
        <is>
          <t>High</t>
        </is>
      </c>
      <c r="M106" s="31" t="inlineStr">
        <is>
          <t>P2</t>
        </is>
      </c>
      <c r="N106" s="31" t="n">
        <v>3</v>
      </c>
      <c r="O106" s="32" t="inlineStr">
        <is>
          <t>@regression @e2e workflow</t>
        </is>
      </c>
      <c r="P106" s="32" t="inlineStr">
        <is>
          <t>API response + status history</t>
        </is>
      </c>
      <c r="Q106" s="31" t="inlineStr">
        <is>
          <t xml:space="preserve">Automated</t>
        </is>
      </c>
      <c r="R106" s="32" t="inlineStr">
        <is>
          <t>tests/workflow/submission.spec.ts</t>
        </is>
      </c>
      <c r="S106" s="31" t="inlineStr">
        <is>
          <t xml:space="preserve">Pass</t>
        </is>
      </c>
      <c r="T106" s="32" t="inlineStr">
        <is>
          <t xml:space="preserve">Run 23-Oct-2026 (chromium, --workers=1): Pass.</t>
        </is>
      </c>
      <c r="U106" s="31" t="inlineStr">
        <is>
          <t>N</t>
        </is>
      </c>
      <c r="V106" s="31" t="inlineStr">
        <is>
          <t>Negative</t>
        </is>
      </c>
      <c r="W106" s="32" t="inlineStr">
        <is>
          <t>-</t>
        </is>
      </c>
      <c r="X106" s="32" t="inlineStr">
        <is>
          <t>Creates its own application; unique data.</t>
        </is>
      </c>
    </row>
    <row r="107" s="23">
      <c r="A107" s="31" t="inlineStr">
        <is>
          <t>TC-WF-12</t>
        </is>
      </c>
      <c r="B107" s="32" t="inlineStr">
        <is>
          <t>Confirmation page is not reachable for an unsubmitted application</t>
        </is>
      </c>
      <c r="C107" s="32" t="inlineStr">
        <is>
          <t>Submission &amp; Status</t>
        </is>
      </c>
      <c r="D107" s="31" t="inlineStr">
        <is>
          <t>UI</t>
        </is>
      </c>
      <c r="E107" s="32" t="inlineStr">
        <is>
          <t>Route /confirmation state check</t>
        </is>
      </c>
      <c r="F107" s="32" t="inlineStr">
        <is>
          <t>QR-09</t>
        </is>
      </c>
      <c r="G107" s="32" t="inlineStr">
        <is>
          <t>Confirmation shown without submission</t>
        </is>
      </c>
      <c r="H107" s="32" t="inlineStr">
        <is>
          <t>Draft application.</t>
        </is>
      </c>
      <c r="I107" s="32" t="inlineStr">
        <is>
          <t>1. Open /applications/&lt;draftId&gt;/confirmation directly.</t>
        </is>
      </c>
      <c r="J107" s="32" t="inlineStr">
        <is>
          <t>Draft id</t>
        </is>
      </c>
      <c r="K107" s="32" t="inlineStr">
        <is>
          <t>No reference/success message shown; user is redirected to the current step or review.</t>
        </is>
      </c>
      <c r="L107" s="31" t="inlineStr">
        <is>
          <t>Medium</t>
        </is>
      </c>
      <c r="M107" s="31" t="inlineStr">
        <is>
          <t>P2</t>
        </is>
      </c>
      <c r="N107" s="31" t="n">
        <v>3</v>
      </c>
      <c r="O107" s="32" t="inlineStr">
        <is>
          <t>@regression workflow</t>
        </is>
      </c>
      <c r="P107" s="32" t="inlineStr">
        <is>
          <t>Screenshot</t>
        </is>
      </c>
      <c r="Q107" s="31" t="inlineStr">
        <is>
          <t xml:space="preserve">Automated</t>
        </is>
      </c>
      <c r="R107" s="32" t="inlineStr">
        <is>
          <t>tests/workflow/submission.spec.ts</t>
        </is>
      </c>
      <c r="S107" s="31" t="inlineStr">
        <is>
          <t xml:space="preserve">Fail</t>
        </is>
      </c>
      <c r="T107" s="32" t="inlineStr">
        <is>
          <t xml:space="preserve">NEW DEFECT (not in the seeded catalog): the confirmation page opens for an application that was never submitted. Run 23-Oct-2026 (chromium, --workers=1).</t>
        </is>
      </c>
      <c r="U107" s="31" t="inlineStr">
        <is>
          <t>N</t>
        </is>
      </c>
      <c r="V107" s="31" t="inlineStr">
        <is>
          <t>Negative</t>
        </is>
      </c>
      <c r="W107" s="32" t="inlineStr">
        <is>
          <t>-</t>
        </is>
      </c>
      <c r="X107" s="32" t="inlineStr">
        <is>
          <t>Creates its own application via fixture (independent; unique generated data).</t>
        </is>
      </c>
    </row>
    <row r="108" s="23">
      <c r="A108" s="31" t="inlineStr">
        <is>
          <t>TC-WF-13</t>
        </is>
      </c>
      <c r="B108" s="32" t="inlineStr">
        <is>
          <t>Submitted data matches entered data (persistence UI/API/DB)</t>
        </is>
      </c>
      <c r="C108" s="32" t="inlineStr">
        <is>
          <t>Submission &amp; Status</t>
        </is>
      </c>
      <c r="D108" s="31" t="inlineStr">
        <is>
          <t>E2E</t>
        </is>
      </c>
      <c r="E108" s="32" t="inlineStr">
        <is>
          <t>Risk QR-10</t>
        </is>
      </c>
      <c r="F108" s="32" t="inlineStr">
        <is>
          <t>QR-10, QR-09</t>
        </is>
      </c>
      <c r="G108" s="32" t="inlineStr">
        <is>
          <t>Data not persisted accurately</t>
        </is>
      </c>
      <c r="H108" s="32" t="inlineStr">
        <is>
          <t>Application submitted in E2E; API access (DB read-only if approved).</t>
        </is>
      </c>
      <c r="I108" s="32" t="inlineStr">
        <is>
          <t>1. Record entered data.
2. Submit.
3. Open submitted application read-only view.
4. GET application detail via API (and DB query if allowed).</t>
        </is>
      </c>
      <c r="J108" s="32" t="inlineStr">
        <is>
          <t>Generated application</t>
        </is>
      </c>
      <c r="K108" s="32" t="inlineStr">
        <is>
          <t>Read-only view and API/DB values equal the entered values; sensitive fields remain masked.</t>
        </is>
      </c>
      <c r="L108" s="31" t="inlineStr">
        <is>
          <t>High</t>
        </is>
      </c>
      <c r="M108" s="31" t="inlineStr">
        <is>
          <t>P2</t>
        </is>
      </c>
      <c r="N108" s="31" t="n">
        <v>3</v>
      </c>
      <c r="O108" s="32" t="inlineStr">
        <is>
          <t>@regression @e2e workflow</t>
        </is>
      </c>
      <c r="P108" s="32" t="inlineStr">
        <is>
          <t>Comparison log; query output (redacted)</t>
        </is>
      </c>
      <c r="Q108" s="31" t="inlineStr">
        <is>
          <t xml:space="preserve">Automated</t>
        </is>
      </c>
      <c r="R108" s="32" t="inlineStr">
        <is>
          <t>tests/workflow/persistence.spec.ts</t>
        </is>
      </c>
      <c r="S108" s="31" t="inlineStr">
        <is>
          <t xml:space="preserve">Pass</t>
        </is>
      </c>
      <c r="T108" s="32" t="inlineStr">
        <is>
          <t xml:space="preserve">Run 23-Oct-2026 (chromium, --workers=1): Pass.</t>
        </is>
      </c>
      <c r="U108" s="31" t="inlineStr">
        <is>
          <t>N</t>
        </is>
      </c>
      <c r="V108" s="31" t="inlineStr">
        <is>
          <t>Positive</t>
        </is>
      </c>
      <c r="W108" s="32" t="inlineStr">
        <is>
          <t>API/DB: stored values equal entered values</t>
        </is>
      </c>
      <c r="X108" s="32" t="inlineStr">
        <is>
          <t>Creates its own application via fixture (independent; unique generated data).</t>
        </is>
      </c>
    </row>
    <row r="109" s="23">
      <c r="A109" s="31" t="inlineStr">
        <is>
          <t>TC-API-01</t>
        </is>
      </c>
      <c r="B109" s="32" t="inlineStr">
        <is>
          <t>GET /api/products returns 200 and expected schema</t>
        </is>
      </c>
      <c r="C109" s="32" t="inlineStr">
        <is>
          <t>API</t>
        </is>
      </c>
      <c r="D109" s="31" t="inlineStr">
        <is>
          <t>API</t>
        </is>
      </c>
      <c r="E109" s="32" t="inlineStr">
        <is>
          <t>API-V01</t>
        </is>
      </c>
      <c r="F109" s="32" t="inlineStr">
        <is>
          <t>QR-05</t>
        </is>
      </c>
      <c r="G109" s="32" t="inlineStr">
        <is>
          <t>Product schema broken</t>
        </is>
      </c>
      <c r="H109" s="32" t="inlineStr">
        <is>
          <t>Authenticated request context.</t>
        </is>
      </c>
      <c r="I109" s="32" t="inlineStr">
        <is>
          <t>1. GET /api/products.
2. Assert status and keys/types for each product.</t>
        </is>
      </c>
      <c r="J109" s="32" t="inlineStr">
        <is>
          <t>Session/token</t>
        </is>
      </c>
      <c r="K109" s="32" t="inlineStr">
        <is>
          <t>200; each product has required keys (id, name, status, limits...) with correct types.</t>
        </is>
      </c>
      <c r="L109" s="31" t="inlineStr">
        <is>
          <t>Medium</t>
        </is>
      </c>
      <c r="M109" s="31" t="inlineStr">
        <is>
          <t>P1</t>
        </is>
      </c>
      <c r="N109" s="31" t="n">
        <v>1</v>
      </c>
      <c r="O109" s="32" t="inlineStr">
        <is>
          <t>@api @smoke products</t>
        </is>
      </c>
      <c r="P109" s="32" t="inlineStr">
        <is>
          <t>Response body</t>
        </is>
      </c>
      <c r="Q109" s="31" t="inlineStr">
        <is>
          <t xml:space="preserve">Automated</t>
        </is>
      </c>
      <c r="R109" s="32" t="inlineStr">
        <is>
          <t>tests/api/products-api.spec.ts</t>
        </is>
      </c>
      <c r="S109" s="31" t="inlineStr">
        <is>
          <t xml:space="preserve">Blocked</t>
        </is>
      </c>
      <c r="T109" s="32" t="inlineStr">
        <is>
          <t xml:space="preserve">Automated (Playwright api project) but not executable: the lab app has no REST API (/api/* returns 404).</t>
        </is>
      </c>
      <c r="U109" s="31" t="inlineStr">
        <is>
          <t>Y</t>
        </is>
      </c>
      <c r="V109" s="31" t="inlineStr">
        <is>
          <t>Positive</t>
        </is>
      </c>
      <c r="W109" s="32" t="inlineStr">
        <is>
          <t>-</t>
        </is>
      </c>
      <c r="X109" s="32" t="inlineStr">
        <is>
          <t>Creates its own application via fixture (independent; unique generated data).</t>
        </is>
      </c>
    </row>
    <row r="110" s="23">
      <c r="A110" s="31" t="inlineStr">
        <is>
          <t>TC-API-02</t>
        </is>
      </c>
      <c r="B110" s="32" t="inlineStr">
        <is>
          <t>Protected APIs require authorization (no token, invalid token)</t>
        </is>
      </c>
      <c r="C110" s="32" t="inlineStr">
        <is>
          <t>API</t>
        </is>
      </c>
      <c r="D110" s="31" t="inlineStr">
        <is>
          <t>API</t>
        </is>
      </c>
      <c r="E110" s="32" t="inlineStr">
        <is>
          <t>API-V02</t>
        </is>
      </c>
      <c r="F110" s="32" t="inlineStr">
        <is>
          <t>QR-01</t>
        </is>
      </c>
      <c r="G110" s="32" t="inlineStr">
        <is>
          <t>API reachable without auth</t>
        </is>
      </c>
      <c r="H110" s="32" t="inlineStr">
        <is>
          <t>No token/session.</t>
        </is>
      </c>
      <c r="I110" s="32" t="inlineStr">
        <is>
          <t>1. Call GET /api/applications, /api/applications/{id}/client, /status and POST /submit with no credentials.
2. Repeat with an invalid/expired token.</t>
        </is>
      </c>
      <c r="J110" s="32" t="inlineStr">
        <is>
          <t>None / invalid token</t>
        </is>
      </c>
      <c r="K110" s="32" t="inlineStr">
        <is>
          <t>401 or 403; no application data in body.</t>
        </is>
      </c>
      <c r="L110" s="31" t="inlineStr">
        <is>
          <t>Critical</t>
        </is>
      </c>
      <c r="M110" s="31" t="inlineStr">
        <is>
          <t>P1</t>
        </is>
      </c>
      <c r="N110" s="31" t="n">
        <v>1</v>
      </c>
      <c r="O110" s="32" t="inlineStr">
        <is>
          <t>@api @smoke auth</t>
        </is>
      </c>
      <c r="P110" s="32" t="inlineStr">
        <is>
          <t>Status + body</t>
        </is>
      </c>
      <c r="Q110" s="31" t="inlineStr">
        <is>
          <t xml:space="preserve">Automated</t>
        </is>
      </c>
      <c r="R110" s="32" t="inlineStr">
        <is>
          <t>tests/api/auth-api.spec.ts</t>
        </is>
      </c>
      <c r="S110" s="31" t="inlineStr">
        <is>
          <t xml:space="preserve">Blocked</t>
        </is>
      </c>
      <c r="T110" s="32" t="inlineStr">
        <is>
          <t xml:space="preserve">Automated (Playwright api project) but not executable: the lab app has no REST API (/api/* returns 404).</t>
        </is>
      </c>
      <c r="U110" s="31" t="inlineStr">
        <is>
          <t>Y</t>
        </is>
      </c>
      <c r="V110" s="31" t="inlineStr">
        <is>
          <t>Negative</t>
        </is>
      </c>
      <c r="W110" s="32" t="inlineStr">
        <is>
          <t>-</t>
        </is>
      </c>
      <c r="X110" s="32" t="inlineStr">
        <is>
          <t>Creates its own application via fixture (independent; unique generated data).</t>
        </is>
      </c>
    </row>
    <row r="111" s="23">
      <c r="A111" s="31" t="inlineStr">
        <is>
          <t>TC-API-03</t>
        </is>
      </c>
      <c r="B111" s="32" t="inlineStr">
        <is>
          <t>Client API rejects invalid DOB</t>
        </is>
      </c>
      <c r="C111" s="32" t="inlineStr">
        <is>
          <t>API</t>
        </is>
      </c>
      <c r="D111" s="31" t="inlineStr">
        <is>
          <t>API</t>
        </is>
      </c>
      <c r="E111" s="32" t="inlineStr">
        <is>
          <t>API-V03</t>
        </is>
      </c>
      <c r="F111" s="32" t="inlineStr">
        <is>
          <t>QR-03</t>
        </is>
      </c>
      <c r="G111" s="32" t="inlineStr">
        <is>
          <t>UI and API rules differ</t>
        </is>
      </c>
      <c r="H111" s="32" t="inlineStr">
        <is>
          <t>Authenticated; application id owned.</t>
        </is>
      </c>
      <c r="I111" s="32" t="inlineStr">
        <is>
          <t>1. POST client payload with future DOB.
2. POST with underage DOB.
3. GET client to confirm nothing saved.</t>
        </is>
      </c>
      <c r="J111" s="32" t="inlineStr">
        <is>
          <t>Future and underage DOBs</t>
        </is>
      </c>
      <c r="K111" s="32" t="inlineStr">
        <is>
          <t>4xx validation error with error structure; invalid DOB not persisted.</t>
        </is>
      </c>
      <c r="L111" s="31" t="inlineStr">
        <is>
          <t>Critical</t>
        </is>
      </c>
      <c r="M111" s="31" t="inlineStr">
        <is>
          <t>P1</t>
        </is>
      </c>
      <c r="N111" s="31" t="n">
        <v>2</v>
      </c>
      <c r="O111" s="32" t="inlineStr">
        <is>
          <t>@api @regression client</t>
        </is>
      </c>
      <c r="P111" s="32" t="inlineStr">
        <is>
          <t>Request/response</t>
        </is>
      </c>
      <c r="Q111" s="31" t="inlineStr">
        <is>
          <t xml:space="preserve">Automated</t>
        </is>
      </c>
      <c r="R111" s="32" t="inlineStr">
        <is>
          <t>tests/api/client-api.spec.ts</t>
        </is>
      </c>
      <c r="S111" s="31" t="inlineStr">
        <is>
          <t xml:space="preserve">Blocked</t>
        </is>
      </c>
      <c r="T111" s="32" t="inlineStr">
        <is>
          <t xml:space="preserve">Automated (Playwright api project) but not executable: the lab app has no REST API (/api/* returns 404).</t>
        </is>
      </c>
      <c r="U111" s="31" t="inlineStr">
        <is>
          <t>Y</t>
        </is>
      </c>
      <c r="V111" s="31" t="inlineStr">
        <is>
          <t>Boundary</t>
        </is>
      </c>
      <c r="W111" s="32" t="inlineStr">
        <is>
          <t>-</t>
        </is>
      </c>
      <c r="X111" s="32" t="inlineStr">
        <is>
          <t>Creates its own application via fixture (independent; unique generated data).</t>
        </is>
      </c>
    </row>
    <row r="112" s="23">
      <c r="A112" s="31" t="inlineStr">
        <is>
          <t>TC-API-04</t>
        </is>
      </c>
      <c r="B112" s="32" t="inlineStr">
        <is>
          <t>Validation API returns beneficiary allocation error</t>
        </is>
      </c>
      <c r="C112" s="32" t="inlineStr">
        <is>
          <t>API</t>
        </is>
      </c>
      <c r="D112" s="31" t="inlineStr">
        <is>
          <t>API</t>
        </is>
      </c>
      <c r="E112" s="32" t="inlineStr">
        <is>
          <t>API-V04</t>
        </is>
      </c>
      <c r="F112" s="32" t="inlineStr">
        <is>
          <t>QR-07</t>
        </is>
      </c>
      <c r="G112" s="32" t="inlineStr">
        <is>
          <t>UI and API rules differ</t>
        </is>
      </c>
      <c r="H112" s="32" t="inlineStr">
        <is>
          <t>Application with 90% primary allocation.</t>
        </is>
      </c>
      <c r="I112" s="32" t="inlineStr">
        <is>
          <t>1. POST /api/applications/{id}/validate.</t>
        </is>
      </c>
      <c r="J112" s="32" t="inlineStr">
        <is>
          <t>Under-allocated beneficiaries</t>
        </is>
      </c>
      <c r="K112" s="32" t="inlineStr">
        <is>
          <t>Response lists allocation error in expected error structure.</t>
        </is>
      </c>
      <c r="L112" s="31" t="inlineStr">
        <is>
          <t>High</t>
        </is>
      </c>
      <c r="M112" s="31" t="inlineStr">
        <is>
          <t>P1</t>
        </is>
      </c>
      <c r="N112" s="31" t="n">
        <v>2</v>
      </c>
      <c r="O112" s="32" t="inlineStr">
        <is>
          <t>@api @regression beneficiary</t>
        </is>
      </c>
      <c r="P112" s="32" t="inlineStr">
        <is>
          <t>Response body</t>
        </is>
      </c>
      <c r="Q112" s="31" t="inlineStr">
        <is>
          <t xml:space="preserve">Automated</t>
        </is>
      </c>
      <c r="R112" s="32" t="inlineStr">
        <is>
          <t>tests/api/validation-api.spec.ts</t>
        </is>
      </c>
      <c r="S112" s="31" t="inlineStr">
        <is>
          <t xml:space="preserve">Blocked</t>
        </is>
      </c>
      <c r="T112" s="32" t="inlineStr">
        <is>
          <t xml:space="preserve">Automated (Playwright api project) but not executable: the lab app has no REST API (/api/* returns 404).</t>
        </is>
      </c>
      <c r="U112" s="31" t="inlineStr">
        <is>
          <t>N</t>
        </is>
      </c>
      <c r="V112" s="31" t="inlineStr">
        <is>
          <t>Negative</t>
        </is>
      </c>
      <c r="W112" s="32" t="inlineStr">
        <is>
          <t>-</t>
        </is>
      </c>
      <c r="X112" s="32" t="inlineStr">
        <is>
          <t>Creates its own application via fixture (independent; unique generated data).</t>
        </is>
      </c>
    </row>
    <row r="113" s="23">
      <c r="A113" s="31" t="inlineStr">
        <is>
          <t>TC-API-05</t>
        </is>
      </c>
      <c r="B113" s="32" t="inlineStr">
        <is>
          <t>Submission API rejects incomplete application</t>
        </is>
      </c>
      <c r="C113" s="32" t="inlineStr">
        <is>
          <t>API</t>
        </is>
      </c>
      <c r="D113" s="31" t="inlineStr">
        <is>
          <t>API</t>
        </is>
      </c>
      <c r="E113" s="32" t="inlineStr">
        <is>
          <t>API-V05</t>
        </is>
      </c>
      <c r="F113" s="32" t="inlineStr">
        <is>
          <t>QR-09</t>
        </is>
      </c>
      <c r="G113" s="32" t="inlineStr">
        <is>
          <t>Incomplete application submits</t>
        </is>
      </c>
      <c r="H113" s="32" t="inlineStr">
        <is>
          <t>Draft application with missing sections.</t>
        </is>
      </c>
      <c r="I113" s="32" t="inlineStr">
        <is>
          <t>1. POST /api/applications/{id}/submit.
2. GET status.</t>
        </is>
      </c>
      <c r="J113" s="32" t="inlineStr">
        <is>
          <t>Incomplete draft</t>
        </is>
      </c>
      <c r="K113" s="32" t="inlineStr">
        <is>
          <t>Error response; no reference number; status remains Draft.</t>
        </is>
      </c>
      <c r="L113" s="31" t="inlineStr">
        <is>
          <t>Critical</t>
        </is>
      </c>
      <c r="M113" s="31" t="inlineStr">
        <is>
          <t>P1</t>
        </is>
      </c>
      <c r="N113" s="31" t="n">
        <v>2</v>
      </c>
      <c r="O113" s="32" t="inlineStr">
        <is>
          <t>@api @regression workflow</t>
        </is>
      </c>
      <c r="P113" s="32" t="inlineStr">
        <is>
          <t>Response + status</t>
        </is>
      </c>
      <c r="Q113" s="31" t="inlineStr">
        <is>
          <t xml:space="preserve">Automated</t>
        </is>
      </c>
      <c r="R113" s="32" t="inlineStr">
        <is>
          <t>tests/api/submission-api.spec.ts</t>
        </is>
      </c>
      <c r="S113" s="31" t="inlineStr">
        <is>
          <t xml:space="preserve">Blocked</t>
        </is>
      </c>
      <c r="T113" s="32" t="inlineStr">
        <is>
          <t xml:space="preserve">Automated (Playwright api project) but not executable: the lab app has no REST API (/api/* returns 404).</t>
        </is>
      </c>
      <c r="U113" s="31" t="inlineStr">
        <is>
          <t>Y</t>
        </is>
      </c>
      <c r="V113" s="31" t="inlineStr">
        <is>
          <t>Negative</t>
        </is>
      </c>
      <c r="W113" s="32" t="inlineStr">
        <is>
          <t>-</t>
        </is>
      </c>
      <c r="X113" s="32" t="inlineStr">
        <is>
          <t>Creates its own application via fixture (independent; unique generated data).</t>
        </is>
      </c>
    </row>
    <row r="114" s="23">
      <c r="A114" s="31" t="inlineStr">
        <is>
          <t>TC-API-06</t>
        </is>
      </c>
      <c r="B114" s="32" t="inlineStr">
        <is>
          <t>Applications list API matches dashboard rows (list endpoint)</t>
        </is>
      </c>
      <c r="C114" s="32" t="inlineStr">
        <is>
          <t>API</t>
        </is>
      </c>
      <c r="D114" s="31" t="inlineStr">
        <is>
          <t>API</t>
        </is>
      </c>
      <c r="E114" s="32" t="inlineStr">
        <is>
          <t>API-V06</t>
        </is>
      </c>
      <c r="F114" s="32" t="inlineStr">
        <is>
          <t>QR-02</t>
        </is>
      </c>
      <c r="G114" s="32" t="inlineStr">
        <is>
          <t>Dashboard status differs from backend</t>
        </is>
      </c>
      <c r="H114" s="32" t="inlineStr">
        <is>
          <t>Valid agent with applications.</t>
        </is>
      </c>
      <c r="I114" s="32" t="inlineStr">
        <is>
          <t>1. GET /api/applications.
2. Read dashboard rows (id, status, name).
3. Compare ids, count and statuses.</t>
        </is>
      </c>
      <c r="J114" s="32" t="inlineStr">
        <is>
          <t>Seeded applications</t>
        </is>
      </c>
      <c r="K114" s="32" t="inlineStr">
        <is>
          <t>Same applications and statuses in API and UI.</t>
        </is>
      </c>
      <c r="L114" s="31" t="inlineStr">
        <is>
          <t>High</t>
        </is>
      </c>
      <c r="M114" s="31" t="inlineStr">
        <is>
          <t>P2</t>
        </is>
      </c>
      <c r="N114" s="31" t="n">
        <v>2</v>
      </c>
      <c r="O114" s="32" t="inlineStr">
        <is>
          <t>@api @regression dashboard</t>
        </is>
      </c>
      <c r="P114" s="32" t="inlineStr">
        <is>
          <t>Comparison table</t>
        </is>
      </c>
      <c r="Q114" s="31" t="inlineStr">
        <is>
          <t xml:space="preserve">Automated</t>
        </is>
      </c>
      <c r="R114" s="32" t="inlineStr">
        <is>
          <t>tests/api/applications-api.spec.ts</t>
        </is>
      </c>
      <c r="S114" s="31" t="inlineStr">
        <is>
          <t xml:space="preserve">Blocked</t>
        </is>
      </c>
      <c r="T114" s="32" t="inlineStr">
        <is>
          <t xml:space="preserve">Automated (Playwright api project) but not executable: the lab app has no REST API (/api/* returns 404).</t>
        </is>
      </c>
      <c r="U114" s="31" t="inlineStr">
        <is>
          <t>N</t>
        </is>
      </c>
      <c r="V114" s="31" t="inlineStr">
        <is>
          <t>Positive</t>
        </is>
      </c>
      <c r="W114" s="32" t="inlineStr">
        <is>
          <t>-</t>
        </is>
      </c>
      <c r="X114" s="32" t="inlineStr">
        <is>
          <t>Creates its own application via fixture (independent; unique generated data).</t>
        </is>
      </c>
    </row>
    <row r="115" s="23">
      <c r="A115" s="31" t="inlineStr">
        <is>
          <t>TC-API-07</t>
        </is>
      </c>
      <c r="B115" s="32" t="inlineStr">
        <is>
          <t>Product detail API matches UI detail page</t>
        </is>
      </c>
      <c r="C115" s="32" t="inlineStr">
        <is>
          <t>API</t>
        </is>
      </c>
      <c r="D115" s="31" t="inlineStr">
        <is>
          <t>API</t>
        </is>
      </c>
      <c r="E115" s="32" t="inlineStr">
        <is>
          <t>API-V07</t>
        </is>
      </c>
      <c r="F115" s="32" t="inlineStr">
        <is>
          <t>QR-05</t>
        </is>
      </c>
      <c r="G115" s="32" t="inlineStr">
        <is>
          <t>Product data mismatch</t>
        </is>
      </c>
      <c r="H115" s="32" t="inlineStr">
        <is>
          <t>Authenticated.</t>
        </is>
      </c>
      <c r="I115" s="32" t="inlineStr">
        <is>
          <t>1. GET /api/products/{id}.
2. Open same product in UI.
3. Compare limits/terms/features.</t>
        </is>
      </c>
      <c r="J115" s="32" t="inlineStr">
        <is>
          <t>First active product</t>
        </is>
      </c>
      <c r="K115" s="32" t="inlineStr">
        <is>
          <t>Fields match between API and UI.</t>
        </is>
      </c>
      <c r="L115" s="31" t="inlineStr">
        <is>
          <t>Medium</t>
        </is>
      </c>
      <c r="M115" s="31" t="inlineStr">
        <is>
          <t>P2</t>
        </is>
      </c>
      <c r="N115" s="31" t="n">
        <v>3</v>
      </c>
      <c r="O115" s="32" t="inlineStr">
        <is>
          <t>@api @regression product</t>
        </is>
      </c>
      <c r="P115" s="32" t="inlineStr">
        <is>
          <t>Comparison in log</t>
        </is>
      </c>
      <c r="Q115" s="31" t="inlineStr">
        <is>
          <t xml:space="preserve">Automated</t>
        </is>
      </c>
      <c r="R115" s="32" t="inlineStr">
        <is>
          <t>tests/api/products-api.spec.ts</t>
        </is>
      </c>
      <c r="S115" s="31" t="inlineStr">
        <is>
          <t xml:space="preserve">Blocked</t>
        </is>
      </c>
      <c r="T115" s="32" t="inlineStr">
        <is>
          <t xml:space="preserve">Automated (Playwright api project) but not executable: the lab app has no REST API (/api/* returns 404).</t>
        </is>
      </c>
      <c r="U115" s="31" t="inlineStr">
        <is>
          <t>N</t>
        </is>
      </c>
      <c r="V115" s="31" t="inlineStr">
        <is>
          <t>Positive</t>
        </is>
      </c>
      <c r="W115" s="32" t="inlineStr">
        <is>
          <t>-</t>
        </is>
      </c>
      <c r="X115" s="32" t="inlineStr">
        <is>
          <t>Creates its own application via fixture (independent; unique generated data).</t>
        </is>
      </c>
    </row>
    <row r="116" s="23">
      <c r="A116" s="31" t="inlineStr">
        <is>
          <t>TC-API-08</t>
        </is>
      </c>
      <c r="B116" s="32" t="inlineStr">
        <is>
          <t>Applications API returns only logged-in agent's records</t>
        </is>
      </c>
      <c r="C116" s="32" t="inlineStr">
        <is>
          <t>API</t>
        </is>
      </c>
      <c r="D116" s="31" t="inlineStr">
        <is>
          <t>API</t>
        </is>
      </c>
      <c r="E116" s="32" t="inlineStr">
        <is>
          <t>API-V08</t>
        </is>
      </c>
      <c r="F116" s="32" t="inlineStr">
        <is>
          <t>QR-02</t>
        </is>
      </c>
      <c r="G116" s="32" t="inlineStr">
        <is>
          <t>Cross-agent data exposure</t>
        </is>
      </c>
      <c r="H116" s="32" t="inlineStr">
        <is>
          <t>Two agents with applications.</t>
        </is>
      </c>
      <c r="I116" s="32" t="inlineStr">
        <is>
          <t>1. GET /api/applications as agent A and B.
2. Request agent A's application id as agent B.</t>
        </is>
      </c>
      <c r="J116" s="32" t="inlineStr">
        <is>
          <t>VALID_AGENT, SECOND_AGENT</t>
        </is>
      </c>
      <c r="K116" s="32" t="inlineStr">
        <is>
          <t>Lists do not overlap; cross-agent id returns 403/404.</t>
        </is>
      </c>
      <c r="L116" s="31" t="inlineStr">
        <is>
          <t>Critical</t>
        </is>
      </c>
      <c r="M116" s="31" t="inlineStr">
        <is>
          <t>P1</t>
        </is>
      </c>
      <c r="N116" s="31" t="n">
        <v>2</v>
      </c>
      <c r="O116" s="32" t="inlineStr">
        <is>
          <t>@api @regression dashboard</t>
        </is>
      </c>
      <c r="P116" s="32" t="inlineStr">
        <is>
          <t>Both responses</t>
        </is>
      </c>
      <c r="Q116" s="31" t="inlineStr">
        <is>
          <t xml:space="preserve">Automated</t>
        </is>
      </c>
      <c r="R116" s="32" t="inlineStr">
        <is>
          <t>tests/api/applications-api.spec.ts</t>
        </is>
      </c>
      <c r="S116" s="31" t="inlineStr">
        <is>
          <t xml:space="preserve">Blocked</t>
        </is>
      </c>
      <c r="T116" s="32" t="inlineStr">
        <is>
          <t xml:space="preserve">Automated (Playwright api project) but not executable: the lab app has no REST API (/api/* returns 404).</t>
        </is>
      </c>
      <c r="U116" s="31" t="inlineStr">
        <is>
          <t>Y</t>
        </is>
      </c>
      <c r="V116" s="31" t="inlineStr">
        <is>
          <t>Negative</t>
        </is>
      </c>
      <c r="W116" s="32" t="inlineStr">
        <is>
          <t>-</t>
        </is>
      </c>
      <c r="X116" s="32" t="inlineStr">
        <is>
          <t>Creates its own application via fixture (independent; unique generated data).</t>
        </is>
      </c>
    </row>
    <row r="117" s="23">
      <c r="A117" s="31" t="inlineStr">
        <is>
          <t>TC-API-09</t>
        </is>
      </c>
      <c r="B117" s="32" t="inlineStr">
        <is>
          <t>Login API rejects invalid credentials</t>
        </is>
      </c>
      <c r="C117" s="32" t="inlineStr">
        <is>
          <t>API</t>
        </is>
      </c>
      <c r="D117" s="31" t="inlineStr">
        <is>
          <t>API</t>
        </is>
      </c>
      <c r="E117" s="32" t="inlineStr">
        <is>
          <t>Spec: POST /api/auth/login</t>
        </is>
      </c>
      <c r="F117" s="32" t="inlineStr">
        <is>
          <t>QR-01</t>
        </is>
      </c>
      <c r="G117" s="32" t="inlineStr">
        <is>
          <t>Misleading login response</t>
        </is>
      </c>
      <c r="H117" s="32" t="inlineStr">
        <is>
          <t>None.</t>
        </is>
      </c>
      <c r="I117" s="32" t="inlineStr">
        <is>
          <t>1. POST /api/auth/login with wrong password.
2. POST with unknown user.
3. POST with valid credentials.</t>
        </is>
      </c>
      <c r="J117" s="32" t="inlineStr">
        <is>
          <t>Wrong/unknown/valid</t>
        </is>
      </c>
      <c r="K117" s="32" t="inlineStr">
        <is>
          <t>401 for invalid cases with consistent error structure; 200 with token/session for valid.</t>
        </is>
      </c>
      <c r="L117" s="31" t="inlineStr">
        <is>
          <t>High</t>
        </is>
      </c>
      <c r="M117" s="31" t="inlineStr">
        <is>
          <t>P1</t>
        </is>
      </c>
      <c r="N117" s="31" t="n">
        <v>2</v>
      </c>
      <c r="O117" s="32" t="inlineStr">
        <is>
          <t>@api @regression auth</t>
        </is>
      </c>
      <c r="P117" s="32" t="inlineStr">
        <is>
          <t>Responses (token redacted)</t>
        </is>
      </c>
      <c r="Q117" s="31" t="inlineStr">
        <is>
          <t xml:space="preserve">Automated</t>
        </is>
      </c>
      <c r="R117" s="32" t="inlineStr">
        <is>
          <t>tests/api/auth-api.spec.ts</t>
        </is>
      </c>
      <c r="S117" s="31" t="inlineStr">
        <is>
          <t xml:space="preserve">Blocked</t>
        </is>
      </c>
      <c r="T117" s="32" t="inlineStr">
        <is>
          <t xml:space="preserve">Automated (Playwright api project) but not executable: the lab app has no REST API (/api/* returns 404).</t>
        </is>
      </c>
      <c r="U117" s="31" t="inlineStr">
        <is>
          <t>N</t>
        </is>
      </c>
      <c r="V117" s="31" t="inlineStr">
        <is>
          <t>Negative</t>
        </is>
      </c>
      <c r="W117" s="32" t="inlineStr">
        <is>
          <t>-</t>
        </is>
      </c>
      <c r="X117" s="32" t="inlineStr">
        <is>
          <t>Creates its own application via fixture (independent; unique generated data).</t>
        </is>
      </c>
    </row>
    <row r="118" s="23">
      <c r="A118" s="31" t="inlineStr">
        <is>
          <t>TC-API-10</t>
        </is>
      </c>
      <c r="B118" s="32" t="inlineStr">
        <is>
          <t>Riders API returns schema, categories and eligibility data</t>
        </is>
      </c>
      <c r="C118" s="32" t="inlineStr">
        <is>
          <t>API</t>
        </is>
      </c>
      <c r="D118" s="31" t="inlineStr">
        <is>
          <t>API</t>
        </is>
      </c>
      <c r="E118" s="32" t="inlineStr">
        <is>
          <t>Spec: GET /api/riders</t>
        </is>
      </c>
      <c r="F118" s="32" t="inlineStr">
        <is>
          <t>QR-06</t>
        </is>
      </c>
      <c r="G118" s="32" t="inlineStr">
        <is>
          <t>Rider data/contract broken</t>
        </is>
      </c>
      <c r="H118" s="32" t="inlineStr">
        <is>
          <t>Authenticated.</t>
        </is>
      </c>
      <c r="I118" s="32" t="inlineStr">
        <is>
          <t>1. GET /api/riders.
2. Validate keys/types; check eligibility and dependency fields exist.</t>
        </is>
      </c>
      <c r="J118" s="32" t="inlineStr">
        <is>
          <t>Session</t>
        </is>
      </c>
      <c r="K118" s="32" t="inlineStr">
        <is>
          <t>200; each rider has id, name, category, eligibility/limit fields with correct types; matches UI rider list.</t>
        </is>
      </c>
      <c r="L118" s="31" t="inlineStr">
        <is>
          <t>Medium</t>
        </is>
      </c>
      <c r="M118" s="31" t="inlineStr">
        <is>
          <t>P2</t>
        </is>
      </c>
      <c r="N118" s="31" t="n">
        <v>2</v>
      </c>
      <c r="O118" s="32" t="inlineStr">
        <is>
          <t>@api @regression rider</t>
        </is>
      </c>
      <c r="P118" s="32" t="inlineStr">
        <is>
          <t>Response body</t>
        </is>
      </c>
      <c r="Q118" s="31" t="inlineStr">
        <is>
          <t xml:space="preserve">Automated</t>
        </is>
      </c>
      <c r="R118" s="32" t="inlineStr">
        <is>
          <t>tests/api/riders-api.spec.ts</t>
        </is>
      </c>
      <c r="S118" s="31" t="inlineStr">
        <is>
          <t xml:space="preserve">Blocked</t>
        </is>
      </c>
      <c r="T118" s="32" t="inlineStr">
        <is>
          <t xml:space="preserve">Automated (Playwright api project) but not executable: the lab app has no REST API (/api/* returns 404).</t>
        </is>
      </c>
      <c r="U118" s="31" t="inlineStr">
        <is>
          <t>N</t>
        </is>
      </c>
      <c r="V118" s="31" t="inlineStr">
        <is>
          <t>Positive</t>
        </is>
      </c>
      <c r="W118" s="32" t="inlineStr">
        <is>
          <t>-</t>
        </is>
      </c>
      <c r="X118" s="32" t="inlineStr">
        <is>
          <t>Creates its own application via fixture (independent; unique generated data).</t>
        </is>
      </c>
    </row>
    <row r="119" s="23">
      <c r="A119" s="31" t="inlineStr">
        <is>
          <t>TC-API-11</t>
        </is>
      </c>
      <c r="B119" s="32" t="inlineStr">
        <is>
          <t>Beneficiaries API enforces allocation, minor guardian and duplicate rules</t>
        </is>
      </c>
      <c r="C119" s="32" t="inlineStr">
        <is>
          <t>API</t>
        </is>
      </c>
      <c r="D119" s="31" t="inlineStr">
        <is>
          <t>API</t>
        </is>
      </c>
      <c r="E119" s="32" t="inlineStr">
        <is>
          <t>Spec: POST /api/applications/{id}/beneficiaries</t>
        </is>
      </c>
      <c r="F119" s="32" t="inlineStr">
        <is>
          <t>QR-07</t>
        </is>
      </c>
      <c r="G119" s="32" t="inlineStr">
        <is>
          <t>UI and API rules differ</t>
        </is>
      </c>
      <c r="H119" s="32" t="inlineStr">
        <is>
          <t>Authenticated; application id owned.</t>
        </is>
      </c>
      <c r="I119" s="32" t="inlineStr">
        <is>
          <t>1. POST beneficiaries totalling 99% / 101%.
2. POST minor without guardian.
3. POST duplicate (name+DOB+relationship).
4. GET beneficiaries to confirm none persisted.</t>
        </is>
      </c>
      <c r="J119" s="32" t="inlineStr">
        <is>
          <t>Invalid payloads</t>
        </is>
      </c>
      <c r="K119" s="32" t="inlineStr">
        <is>
          <t>Each rejected with 4xx and structured errors; GET shows rejected data not stored.</t>
        </is>
      </c>
      <c r="L119" s="31" t="inlineStr">
        <is>
          <t>High</t>
        </is>
      </c>
      <c r="M119" s="31" t="inlineStr">
        <is>
          <t>P1</t>
        </is>
      </c>
      <c r="N119" s="31" t="n">
        <v>2</v>
      </c>
      <c r="O119" s="32" t="inlineStr">
        <is>
          <t>@api @regression beneficiary</t>
        </is>
      </c>
      <c r="P119" s="32" t="inlineStr">
        <is>
          <t>Request/response pairs</t>
        </is>
      </c>
      <c r="Q119" s="31" t="inlineStr">
        <is>
          <t xml:space="preserve">Automated</t>
        </is>
      </c>
      <c r="R119" s="32" t="inlineStr">
        <is>
          <t>tests/api/beneficiaries-api.spec.ts</t>
        </is>
      </c>
      <c r="S119" s="31" t="inlineStr">
        <is>
          <t xml:space="preserve">Blocked</t>
        </is>
      </c>
      <c r="T119" s="32" t="inlineStr">
        <is>
          <t xml:space="preserve">Automated (Playwright api project) but not executable: the lab app has no REST API (/api/* returns 404).</t>
        </is>
      </c>
      <c r="U119" s="31" t="inlineStr">
        <is>
          <t>N</t>
        </is>
      </c>
      <c r="V119" s="31" t="inlineStr">
        <is>
          <t>Negative</t>
        </is>
      </c>
      <c r="W119" s="32" t="inlineStr">
        <is>
          <t>-</t>
        </is>
      </c>
      <c r="X119" s="32" t="inlineStr">
        <is>
          <t>Creates its own application via fixture (independent; unique generated data).</t>
        </is>
      </c>
    </row>
    <row r="120" s="23">
      <c r="A120" s="31" t="inlineStr">
        <is>
          <t>TC-API-12</t>
        </is>
      </c>
      <c r="B120" s="32" t="inlineStr">
        <is>
          <t>Documents API rejects unsupported type and oversize files</t>
        </is>
      </c>
      <c r="C120" s="32" t="inlineStr">
        <is>
          <t>API</t>
        </is>
      </c>
      <c r="D120" s="31" t="inlineStr">
        <is>
          <t>API</t>
        </is>
      </c>
      <c r="E120" s="32" t="inlineStr">
        <is>
          <t>Spec: POST /api/applications/{id}/documents</t>
        </is>
      </c>
      <c r="F120" s="32" t="inlineStr">
        <is>
          <t>QR-08</t>
        </is>
      </c>
      <c r="G120" s="32" t="inlineStr">
        <is>
          <t>UI and API rules differ</t>
        </is>
      </c>
      <c r="H120" s="32" t="inlineStr">
        <is>
          <t>Authenticated; application id owned.</t>
        </is>
      </c>
      <c r="I120" s="32" t="inlineStr">
        <is>
          <t>1. POST .exe file.
2. POST file above max size.
3. POST valid PDF.</t>
        </is>
      </c>
      <c r="J120" s="32" t="inlineStr">
        <is>
          <t>fixtures/files</t>
        </is>
      </c>
      <c r="K120" s="32" t="inlineStr">
        <is>
          <t>Invalid type and oversize rejected (4xx, structured error); valid file accepted and status retrievable.</t>
        </is>
      </c>
      <c r="L120" s="31" t="inlineStr">
        <is>
          <t>High</t>
        </is>
      </c>
      <c r="M120" s="31" t="inlineStr">
        <is>
          <t>P2</t>
        </is>
      </c>
      <c r="N120" s="31" t="n">
        <v>3</v>
      </c>
      <c r="O120" s="32" t="inlineStr">
        <is>
          <t>@api @regression documents</t>
        </is>
      </c>
      <c r="P120" s="32" t="inlineStr">
        <is>
          <t>Responses</t>
        </is>
      </c>
      <c r="Q120" s="31" t="inlineStr">
        <is>
          <t xml:space="preserve">Automated</t>
        </is>
      </c>
      <c r="R120" s="32" t="inlineStr">
        <is>
          <t>tests/api/documents-api.spec.ts</t>
        </is>
      </c>
      <c r="S120" s="31" t="inlineStr">
        <is>
          <t xml:space="preserve">Blocked</t>
        </is>
      </c>
      <c r="T120" s="32" t="inlineStr">
        <is>
          <t xml:space="preserve">Automated (Playwright api project) but not executable: the lab app has no REST API (/api/* returns 404).</t>
        </is>
      </c>
      <c r="U120" s="31" t="inlineStr">
        <is>
          <t>N</t>
        </is>
      </c>
      <c r="V120" s="31" t="inlineStr">
        <is>
          <t>Negative</t>
        </is>
      </c>
      <c r="W120" s="32" t="inlineStr">
        <is>
          <t>-</t>
        </is>
      </c>
      <c r="X120" s="32" t="inlineStr">
        <is>
          <t>Creates its own application via fixture (independent; unique generated data).</t>
        </is>
      </c>
    </row>
    <row r="121" s="23">
      <c r="A121" s="31" t="inlineStr">
        <is>
          <t>TC-API-13</t>
        </is>
      </c>
      <c r="B121" s="32" t="inlineStr">
        <is>
          <t>Client API persistence and required-field validation errors</t>
        </is>
      </c>
      <c r="C121" s="32" t="inlineStr">
        <is>
          <t>API</t>
        </is>
      </c>
      <c r="D121" s="31" t="inlineStr">
        <is>
          <t>API</t>
        </is>
      </c>
      <c r="E121" s="32" t="inlineStr">
        <is>
          <t>Spec: GET/POST /api/applications/{id}/client</t>
        </is>
      </c>
      <c r="F121" s="32" t="inlineStr">
        <is>
          <t>QR-03, QR-10</t>
        </is>
      </c>
      <c r="G121" s="32" t="inlineStr">
        <is>
          <t>Client data not persisted / errors unstructured</t>
        </is>
      </c>
      <c r="H121" s="32" t="inlineStr">
        <is>
          <t>Authenticated; new application id.</t>
        </is>
      </c>
      <c r="I121" s="32" t="inlineStr">
        <is>
          <t>1. POST client with required fields missing.
2. POST valid client.
3. GET client.</t>
        </is>
      </c>
      <c r="J121" s="32" t="inlineStr">
        <is>
          <t>Incomplete / valid payloads</t>
        </is>
      </c>
      <c r="K121" s="32" t="inlineStr">
        <is>
          <t>Missing fields produce 4xx with field-level errors; valid POST then GET returns the same values.</t>
        </is>
      </c>
      <c r="L121" s="31" t="inlineStr">
        <is>
          <t>High</t>
        </is>
      </c>
      <c r="M121" s="31" t="inlineStr">
        <is>
          <t>P2</t>
        </is>
      </c>
      <c r="N121" s="31" t="n">
        <v>2</v>
      </c>
      <c r="O121" s="32" t="inlineStr">
        <is>
          <t>@api @regression client</t>
        </is>
      </c>
      <c r="P121" s="32" t="inlineStr">
        <is>
          <t>Responses</t>
        </is>
      </c>
      <c r="Q121" s="31" t="inlineStr">
        <is>
          <t xml:space="preserve">Automated</t>
        </is>
      </c>
      <c r="R121" s="32" t="inlineStr">
        <is>
          <t>tests/api/client-api.spec.ts</t>
        </is>
      </c>
      <c r="S121" s="31" t="inlineStr">
        <is>
          <t xml:space="preserve">Blocked</t>
        </is>
      </c>
      <c r="T121" s="32" t="inlineStr">
        <is>
          <t xml:space="preserve">Automated (Playwright api project) but not executable: the lab app has no REST API (/api/* returns 404).</t>
        </is>
      </c>
      <c r="U121" s="31" t="inlineStr">
        <is>
          <t>N</t>
        </is>
      </c>
      <c r="V121" s="31" t="inlineStr">
        <is>
          <t>Positive</t>
        </is>
      </c>
      <c r="W121" s="32" t="inlineStr">
        <is>
          <t>-</t>
        </is>
      </c>
      <c r="X121" s="32" t="inlineStr">
        <is>
          <t>Creates its own application via fixture (independent; unique generated data).</t>
        </is>
      </c>
    </row>
    <row r="122" s="23">
      <c r="A122" s="31" t="inlineStr">
        <is>
          <t>TC-API-14</t>
        </is>
      </c>
      <c r="B122" s="32" t="inlineStr">
        <is>
          <t>Status API returns current status, history and timestamps</t>
        </is>
      </c>
      <c r="C122" s="32" t="inlineStr">
        <is>
          <t>API</t>
        </is>
      </c>
      <c r="D122" s="31" t="inlineStr">
        <is>
          <t>API</t>
        </is>
      </c>
      <c r="E122" s="32" t="inlineStr">
        <is>
          <t>Spec: GET /api/applications/{id}/status</t>
        </is>
      </c>
      <c r="F122" s="32" t="inlineStr">
        <is>
          <t>QR-09</t>
        </is>
      </c>
      <c r="G122" s="32" t="inlineStr">
        <is>
          <t>Status history gaps</t>
        </is>
      </c>
      <c r="H122" s="32" t="inlineStr">
        <is>
          <t>Submitted and draft applications.</t>
        </is>
      </c>
      <c r="I122" s="32" t="inlineStr">
        <is>
          <t>1. GET status for a draft.
2. GET status for a submitted application.</t>
        </is>
      </c>
      <c r="J122" s="32" t="inlineStr">
        <is>
          <t>Seeded draft + submitted</t>
        </is>
      </c>
      <c r="K122" s="32" t="inlineStr">
        <is>
          <t>Draft: status Draft; submitted: status Submitted with history entries in order and valid timestamps.</t>
        </is>
      </c>
      <c r="L122" s="31" t="inlineStr">
        <is>
          <t>Medium</t>
        </is>
      </c>
      <c r="M122" s="31" t="inlineStr">
        <is>
          <t>P2</t>
        </is>
      </c>
      <c r="N122" s="31" t="n">
        <v>3</v>
      </c>
      <c r="O122" s="32" t="inlineStr">
        <is>
          <t>@api @regression workflow</t>
        </is>
      </c>
      <c r="P122" s="32" t="inlineStr">
        <is>
          <t>Responses</t>
        </is>
      </c>
      <c r="Q122" s="31" t="inlineStr">
        <is>
          <t xml:space="preserve">Automated</t>
        </is>
      </c>
      <c r="R122" s="32" t="inlineStr">
        <is>
          <t>tests/api/status-api.spec.ts</t>
        </is>
      </c>
      <c r="S122" s="31" t="inlineStr">
        <is>
          <t xml:space="preserve">Blocked</t>
        </is>
      </c>
      <c r="T122" s="32" t="inlineStr">
        <is>
          <t xml:space="preserve">Automated (Playwright api project) but not executable: the lab app has no REST API (/api/* returns 404).</t>
        </is>
      </c>
      <c r="U122" s="31" t="inlineStr">
        <is>
          <t>N</t>
        </is>
      </c>
      <c r="V122" s="31" t="inlineStr">
        <is>
          <t>Positive</t>
        </is>
      </c>
      <c r="W122" s="32" t="inlineStr">
        <is>
          <t>-</t>
        </is>
      </c>
      <c r="X122" s="32" t="inlineStr">
        <is>
          <t>Creates its own application via fixture (independent; unique generated data).</t>
        </is>
      </c>
    </row>
    <row r="123" s="23">
      <c r="A123" s="31" t="inlineStr">
        <is>
          <t>TC-API-15</t>
        </is>
      </c>
      <c r="B123" s="32" t="inlineStr">
        <is>
          <t>UI and API give the same verdict for the same invalid input (rule parity)</t>
        </is>
      </c>
      <c r="C123" s="32" t="inlineStr">
        <is>
          <t>API</t>
        </is>
      </c>
      <c r="D123" s="31" t="inlineStr">
        <is>
          <t>API</t>
        </is>
      </c>
      <c r="E123" s="32" t="inlineStr">
        <is>
          <t>Problem statement 2.2: API validation differs from UI</t>
        </is>
      </c>
      <c r="F123" s="32" t="inlineStr">
        <is>
          <t>QR-03, QR-07, QR-09</t>
        </is>
      </c>
      <c r="G123" s="32" t="inlineStr">
        <is>
          <t>UI and API rules differ</t>
        </is>
      </c>
      <c r="H123" s="32" t="inlineStr">
        <is>
          <t>Authenticated; UI and API tests run on the same data set.</t>
        </is>
      </c>
      <c r="I123" s="32" t="inlineStr">
        <is>
          <t>1. For each case (future DOB, underage DOB, allocation 99%, minor w/o guardian) submit via UI and via API.
2. Compare accept/reject outcome.</t>
        </is>
      </c>
      <c r="J123" s="32" t="inlineStr">
        <is>
          <t>Shared invalid datasets</t>
        </is>
      </c>
      <c r="K123" s="32" t="inlineStr">
        <is>
          <t>Outcome is identical in UI and API for every case; any difference is logged as a defect.</t>
        </is>
      </c>
      <c r="L123" s="31" t="inlineStr">
        <is>
          <t>Critical</t>
        </is>
      </c>
      <c r="M123" s="31" t="inlineStr">
        <is>
          <t>P1</t>
        </is>
      </c>
      <c r="N123" s="31" t="n">
        <v>3</v>
      </c>
      <c r="O123" s="32" t="inlineStr">
        <is>
          <t>@api @regression</t>
        </is>
      </c>
      <c r="P123" s="32" t="inlineStr">
        <is>
          <t>Parity table in test log</t>
        </is>
      </c>
      <c r="Q123" s="31" t="inlineStr">
        <is>
          <t xml:space="preserve">Automated</t>
        </is>
      </c>
      <c r="R123" s="32" t="inlineStr">
        <is>
          <t>tests/api/parity.spec.ts</t>
        </is>
      </c>
      <c r="S123" s="31" t="inlineStr">
        <is>
          <t xml:space="preserve">Blocked</t>
        </is>
      </c>
      <c r="T123" s="32" t="inlineStr">
        <is>
          <t xml:space="preserve">Automated (Playwright api project) but not executable: the lab app has no REST API (/api/* returns 404).</t>
        </is>
      </c>
      <c r="U123" s="31" t="inlineStr">
        <is>
          <t>Y</t>
        </is>
      </c>
      <c r="V123" s="31" t="inlineStr">
        <is>
          <t>Negative</t>
        </is>
      </c>
      <c r="W123" s="32" t="inlineStr">
        <is>
          <t>-</t>
        </is>
      </c>
      <c r="X123" s="32" t="inlineStr">
        <is>
          <t>Creates its own application via fixture (independent; unique generated data).</t>
        </is>
      </c>
    </row>
    <row r="124" s="23">
      <c r="A124" s="31" t="inlineStr">
        <is>
          <t>TC-XC-01</t>
        </is>
      </c>
      <c r="B124" s="32" t="inlineStr">
        <is>
          <t>Smoke login and dashboard on Firefox and WebKit</t>
        </is>
      </c>
      <c r="C124" s="32" t="inlineStr">
        <is>
          <t>Cross-Cutting</t>
        </is>
      </c>
      <c r="D124" s="31" t="inlineStr">
        <is>
          <t>UI</t>
        </is>
      </c>
      <c r="E124" s="32" t="inlineStr">
        <is>
          <t>Risk QR-13 cross-browser</t>
        </is>
      </c>
      <c r="F124" s="32" t="inlineStr">
        <is>
          <t>QR-13</t>
        </is>
      </c>
      <c r="G124" s="32" t="inlineStr">
        <is>
          <t>Critical flow differs on another browser</t>
        </is>
      </c>
      <c r="H124" s="32" t="inlineStr">
        <is>
          <t>Playwright projects for firefox and webkit configured.</t>
        </is>
      </c>
      <c r="I124" s="32" t="inlineStr">
        <is>
          <t>1. Run @smoke auth and dashboard tests with --project=firefox and --project=webkit.</t>
        </is>
      </c>
      <c r="J124" s="32" t="inlineStr">
        <is>
          <t>VALID_AGENT</t>
        </is>
      </c>
      <c r="K124" s="32" t="inlineStr">
        <is>
          <t>Login and dashboard smoke pass on both browsers or differences are logged as browser defects.</t>
        </is>
      </c>
      <c r="L124" s="31" t="inlineStr">
        <is>
          <t>Medium</t>
        </is>
      </c>
      <c r="M124" s="31" t="inlineStr">
        <is>
          <t>P3</t>
        </is>
      </c>
      <c r="N124" s="31" t="n">
        <v>3</v>
      </c>
      <c r="O124" s="32" t="inlineStr">
        <is>
          <t>@smoke cross-browser</t>
        </is>
      </c>
      <c r="P124" s="32" t="inlineStr">
        <is>
          <t>HTML report per project</t>
        </is>
      </c>
      <c r="Q124" s="31" t="inlineStr">
        <is>
          <t xml:space="preserve">Automated</t>
        </is>
      </c>
      <c r="R124" s="32" t="inlineStr">
        <is>
          <t>tests/auth/login.spec.ts (projects)</t>
        </is>
      </c>
      <c r="S124" s="31" t="inlineStr">
        <is>
          <t xml:space="preserve">Pass</t>
        </is>
      </c>
      <c r="T124" s="32" t="inlineStr">
        <is>
          <t xml:space="preserve">Run 23-Oct-2026 (chromium, --workers=1): Pass.</t>
        </is>
      </c>
      <c r="U124" s="31" t="inlineStr">
        <is>
          <t>N</t>
        </is>
      </c>
      <c r="V124" s="31" t="inlineStr">
        <is>
          <t>Positive</t>
        </is>
      </c>
      <c r="W124" s="32" t="inlineStr">
        <is>
          <t>-</t>
        </is>
      </c>
      <c r="X124" s="32" t="inlineStr">
        <is>
          <t>Read-only (login only).</t>
        </is>
      </c>
    </row>
  </sheetData>
  <autoFilter ref="A1:X124"/>
  <conditionalFormatting sqref="L2:L174">
    <cfRule type="cellIs" rank="0" priority="2" equalAverage="0" operator="equal" aboveAverage="0" dxfId="7" text="" percent="0" bottom="0">
      <formula>"Critical"</formula>
    </cfRule>
    <cfRule type="cellIs" rank="0" priority="3" equalAverage="0" operator="equal" aboveAverage="0" dxfId="8" text="" percent="0" bottom="0">
      <formula>"High"</formula>
    </cfRule>
    <cfRule type="cellIs" rank="0" priority="4" equalAverage="0" operator="equal" aboveAverage="0" dxfId="9" text="" percent="0" bottom="0">
      <formula>"Medium"</formula>
    </cfRule>
    <cfRule type="cellIs" rank="0" priority="5" equalAverage="0" operator="equal" aboveAverage="0" dxfId="10" text="" percent="0" bottom="0">
      <formula>"Low"</formula>
    </cfRule>
  </conditionalFormatting>
  <conditionalFormatting sqref="S2:S174">
    <cfRule type="cellIs" rank="0" priority="6" equalAverage="0" operator="equal" aboveAverage="0" dxfId="11" text="" percent="0" bottom="0">
      <formula>"Pass"</formula>
    </cfRule>
    <cfRule type="cellIs" rank="0" priority="7" equalAverage="0" operator="equal" aboveAverage="0" dxfId="12" text="" percent="0" bottom="0">
      <formula>"Fail"</formula>
    </cfRule>
    <cfRule type="cellIs" rank="0" priority="8" equalAverage="0" operator="equal" aboveAverage="0" dxfId="13" text="" percent="0" bottom="0">
      <formula>"Blocked"</formula>
    </cfRule>
  </conditionalFormatting>
  <dataValidations count="7">
    <dataValidation sqref="L2:L174" showDropDown="0" showInputMessage="0" showErrorMessage="0" allowBlank="1" type="list" errorStyle="stop" operator="between">
      <formula1>"Critical,High,Medium,Low"</formula1>
      <formula2>0</formula2>
    </dataValidation>
    <dataValidation sqref="M2:M174" showDropDown="0" showInputMessage="0" showErrorMessage="0" allowBlank="1" type="list" errorStyle="stop" operator="between">
      <formula1>"P1,P2,P3"</formula1>
      <formula2>0</formula2>
    </dataValidation>
    <dataValidation sqref="N2:N174" showDropDown="0" showInputMessage="0" showErrorMessage="0" allowBlank="1" type="list" errorStyle="stop" operator="between">
      <formula1>"1,2,3"</formula1>
      <formula2>0</formula2>
    </dataValidation>
    <dataValidation sqref="Q2:Q174" showDropDown="0" showInputMessage="0" showErrorMessage="0" allowBlank="1" type="list" errorStyle="stop" operator="between">
      <formula1>"Not started,In progress,Automated,Manual only,Blocked,Not applicable"</formula1>
      <formula2>0</formula2>
    </dataValidation>
    <dataValidation sqref="S2:S174" showDropDown="0" showInputMessage="0" showErrorMessage="0" allowBlank="1" type="list" errorStyle="stop" operator="between">
      <formula1>"Not run,Pass,Fail,Blocked,Skipped"</formula1>
      <formula2>0</formula2>
    </dataValidation>
    <dataValidation sqref="U2:U174" showDropDown="0" showInputMessage="0" showErrorMessage="0" allowBlank="1" type="list" errorStyle="stop" operator="between">
      <formula1>"Y,N"</formula1>
      <formula2>0</formula2>
    </dataValidation>
    <dataValidation sqref="V2:V174" showDropDown="0" showInputMessage="0" showErrorMessage="0" allowBlank="1" type="list" errorStyle="stop" operator="between">
      <formula1>"Positive,Negative,Boundary"</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F3864"/>
    <outlinePr summaryBelow="1" summaryRight="1"/>
    <pageSetUpPr fitToPage="0"/>
  </sheetPr>
  <dimension ref="A1:H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2" min="1" max="1"/>
    <col width="18" customWidth="1" style="22" min="2" max="2"/>
    <col width="16" customWidth="1" style="22" min="3" max="3"/>
    <col width="14" customWidth="1" style="22" min="4" max="4"/>
    <col width="11" customWidth="1" style="22" min="5" max="5"/>
    <col width="14" customWidth="1" style="22" min="6" max="6"/>
    <col width="20" customWidth="1" style="22" min="7" max="7"/>
    <col width="14" customWidth="1" style="22" min="8" max="8"/>
  </cols>
  <sheetData>
    <row r="1" ht="17.35" customHeight="1" s="23">
      <c r="A1" s="24" t="inlineStr">
        <is>
          <t>Coverage by Module vs Minimum Automation Coverage</t>
        </is>
      </c>
    </row>
    <row r="2" ht="15" customHeight="1" s="23">
      <c r="A2" s="28" t="inlineStr">
        <is>
          <t>Minimums are from 'Submissions and Evaluations' section 5.5 (blue = hard-coded input from the source document). Counts are live formulas on the Test Cases sheet.</t>
        </is>
      </c>
    </row>
    <row r="4" ht="43.5" customHeight="1" s="23">
      <c r="A4" s="30" t="inlineStr">
        <is>
          <t>Module</t>
        </is>
      </c>
      <c r="B4" s="30" t="inlineStr">
        <is>
          <t>Minimum Required (60-test target)</t>
        </is>
      </c>
      <c r="C4" s="30" t="inlineStr">
        <is>
          <t>Planned Test Cases</t>
        </is>
      </c>
      <c r="D4" s="30" t="inlineStr">
        <is>
          <t>Wave 1 (Smoke)</t>
        </is>
      </c>
      <c r="E4" s="30" t="inlineStr">
        <is>
          <t>P1 Cases</t>
        </is>
      </c>
      <c r="F4" s="30" t="inlineStr">
        <is>
          <t>Critical Severity</t>
        </is>
      </c>
      <c r="G4" s="30" t="inlineStr">
        <is>
          <t>Surplus / (Gap) vs Minimum</t>
        </is>
      </c>
      <c r="H4" s="30" t="inlineStr">
        <is>
          <t>Status</t>
        </is>
      </c>
    </row>
    <row r="5" ht="15" customHeight="1" s="23">
      <c r="A5" s="33" t="inlineStr">
        <is>
          <t>Authentication</t>
        </is>
      </c>
      <c r="B5" s="34" t="n">
        <v>6</v>
      </c>
      <c r="C5" s="35">
        <f>COUNTIF('Test Cases'!$C$2:$C$174,A5)</f>
        <v/>
      </c>
      <c r="D5" s="35">
        <f>COUNTIFS('Test Cases'!$C$2:$C$174,A5,'Test Cases'!$N$2:$N$174,1)</f>
        <v/>
      </c>
      <c r="E5" s="35">
        <f>COUNTIFS('Test Cases'!$C$2:$C$174,A5,'Test Cases'!$M$2:$M$174,"P1")</f>
        <v/>
      </c>
      <c r="F5" s="35">
        <f>COUNTIFS('Test Cases'!$C$2:$C$174,A5,'Test Cases'!$L$2:$L$174,"Critical")</f>
        <v/>
      </c>
      <c r="G5" s="35">
        <f>C5-B5</f>
        <v/>
      </c>
      <c r="H5" s="35">
        <f>IF(C5&gt;=B5,"Meets minimum","GAP")</f>
        <v/>
      </c>
    </row>
    <row r="6" ht="15" customHeight="1" s="23">
      <c r="A6" s="33" t="inlineStr">
        <is>
          <t>Dashboard</t>
        </is>
      </c>
      <c r="B6" s="34" t="n">
        <v>4</v>
      </c>
      <c r="C6" s="35">
        <f>COUNTIF('Test Cases'!$C$2:$C$174,A6)</f>
        <v/>
      </c>
      <c r="D6" s="35">
        <f>COUNTIFS('Test Cases'!$C$2:$C$174,A6,'Test Cases'!$N$2:$N$174,1)</f>
        <v/>
      </c>
      <c r="E6" s="35">
        <f>COUNTIFS('Test Cases'!$C$2:$C$174,A6,'Test Cases'!$M$2:$M$174,"P1")</f>
        <v/>
      </c>
      <c r="F6" s="35">
        <f>COUNTIFS('Test Cases'!$C$2:$C$174,A6,'Test Cases'!$L$2:$L$174,"Critical")</f>
        <v/>
      </c>
      <c r="G6" s="35">
        <f>C6-B6</f>
        <v/>
      </c>
      <c r="H6" s="35">
        <f>IF(C6&gt;=B6,"Meets minimum","GAP")</f>
        <v/>
      </c>
    </row>
    <row r="7" ht="15" customHeight="1" s="23">
      <c r="A7" s="33" t="inlineStr">
        <is>
          <t>Client Information</t>
        </is>
      </c>
      <c r="B7" s="34" t="n">
        <v>8</v>
      </c>
      <c r="C7" s="35">
        <f>COUNTIF('Test Cases'!$C$2:$C$174,A7)</f>
        <v/>
      </c>
      <c r="D7" s="35">
        <f>COUNTIFS('Test Cases'!$C$2:$C$174,A7,'Test Cases'!$N$2:$N$174,1)</f>
        <v/>
      </c>
      <c r="E7" s="35">
        <f>COUNTIFS('Test Cases'!$C$2:$C$174,A7,'Test Cases'!$M$2:$M$174,"P1")</f>
        <v/>
      </c>
      <c r="F7" s="35">
        <f>COUNTIFS('Test Cases'!$C$2:$C$174,A7,'Test Cases'!$L$2:$L$174,"Critical")</f>
        <v/>
      </c>
      <c r="G7" s="35">
        <f>C7-B7</f>
        <v/>
      </c>
      <c r="H7" s="35">
        <f>IF(C7&gt;=B7,"Meets minimum","GAP")</f>
        <v/>
      </c>
    </row>
    <row r="8" ht="15" customHeight="1" s="23">
      <c r="A8" s="33" t="inlineStr">
        <is>
          <t>Address &amp; Contact</t>
        </is>
      </c>
      <c r="B8" s="34" t="n">
        <v>5</v>
      </c>
      <c r="C8" s="35">
        <f>COUNTIF('Test Cases'!$C$2:$C$174,A8)</f>
        <v/>
      </c>
      <c r="D8" s="35">
        <f>COUNTIFS('Test Cases'!$C$2:$C$174,A8,'Test Cases'!$N$2:$N$174,1)</f>
        <v/>
      </c>
      <c r="E8" s="35">
        <f>COUNTIFS('Test Cases'!$C$2:$C$174,A8,'Test Cases'!$M$2:$M$174,"P1")</f>
        <v/>
      </c>
      <c r="F8" s="35">
        <f>COUNTIFS('Test Cases'!$C$2:$C$174,A8,'Test Cases'!$L$2:$L$174,"Critical")</f>
        <v/>
      </c>
      <c r="G8" s="35">
        <f>C8-B8</f>
        <v/>
      </c>
      <c r="H8" s="35">
        <f>IF(C8&gt;=B8,"Meets minimum","GAP")</f>
        <v/>
      </c>
    </row>
    <row r="9" ht="15" customHeight="1" s="23">
      <c r="A9" s="33" t="inlineStr">
        <is>
          <t>KYC &amp; Financial</t>
        </is>
      </c>
      <c r="B9" s="34" t="n">
        <v>6</v>
      </c>
      <c r="C9" s="35">
        <f>COUNTIF('Test Cases'!$C$2:$C$174,A9)</f>
        <v/>
      </c>
      <c r="D9" s="35">
        <f>COUNTIFS('Test Cases'!$C$2:$C$174,A9,'Test Cases'!$N$2:$N$174,1)</f>
        <v/>
      </c>
      <c r="E9" s="35">
        <f>COUNTIFS('Test Cases'!$C$2:$C$174,A9,'Test Cases'!$M$2:$M$174,"P1")</f>
        <v/>
      </c>
      <c r="F9" s="35">
        <f>COUNTIFS('Test Cases'!$C$2:$C$174,A9,'Test Cases'!$L$2:$L$174,"Critical")</f>
        <v/>
      </c>
      <c r="G9" s="35">
        <f>C9-B9</f>
        <v/>
      </c>
      <c r="H9" s="35">
        <f>IF(C9&gt;=B9,"Meets minimum","GAP")</f>
        <v/>
      </c>
    </row>
    <row r="10" ht="15" customHeight="1" s="23">
      <c r="A10" s="33" t="inlineStr">
        <is>
          <t>Product &amp; Policy</t>
        </is>
      </c>
      <c r="B10" s="34" t="n">
        <v>6</v>
      </c>
      <c r="C10" s="35">
        <f>COUNTIF('Test Cases'!$C$2:$C$174,A10)</f>
        <v/>
      </c>
      <c r="D10" s="35">
        <f>COUNTIFS('Test Cases'!$C$2:$C$174,A10,'Test Cases'!$N$2:$N$174,1)</f>
        <v/>
      </c>
      <c r="E10" s="35">
        <f>COUNTIFS('Test Cases'!$C$2:$C$174,A10,'Test Cases'!$M$2:$M$174,"P1")</f>
        <v/>
      </c>
      <c r="F10" s="35">
        <f>COUNTIFS('Test Cases'!$C$2:$C$174,A10,'Test Cases'!$L$2:$L$174,"Critical")</f>
        <v/>
      </c>
      <c r="G10" s="35">
        <f>C10-B10</f>
        <v/>
      </c>
      <c r="H10" s="35">
        <f>IF(C10&gt;=B10,"Meets minimum","GAP")</f>
        <v/>
      </c>
    </row>
    <row r="11" ht="15" customHeight="1" s="23">
      <c r="A11" s="33" t="inlineStr">
        <is>
          <t>Riders</t>
        </is>
      </c>
      <c r="B11" s="34" t="n">
        <v>5</v>
      </c>
      <c r="C11" s="35">
        <f>COUNTIF('Test Cases'!$C$2:$C$174,A11)</f>
        <v/>
      </c>
      <c r="D11" s="35">
        <f>COUNTIFS('Test Cases'!$C$2:$C$174,A11,'Test Cases'!$N$2:$N$174,1)</f>
        <v/>
      </c>
      <c r="E11" s="35">
        <f>COUNTIFS('Test Cases'!$C$2:$C$174,A11,'Test Cases'!$M$2:$M$174,"P1")</f>
        <v/>
      </c>
      <c r="F11" s="35">
        <f>COUNTIFS('Test Cases'!$C$2:$C$174,A11,'Test Cases'!$L$2:$L$174,"Critical")</f>
        <v/>
      </c>
      <c r="G11" s="35">
        <f>C11-B11</f>
        <v/>
      </c>
      <c r="H11" s="35">
        <f>IF(C11&gt;=B11,"Meets minimum","GAP")</f>
        <v/>
      </c>
    </row>
    <row r="12" ht="15" customHeight="1" s="23">
      <c r="A12" s="33" t="inlineStr">
        <is>
          <t>Beneficiaries</t>
        </is>
      </c>
      <c r="B12" s="34" t="n">
        <v>7</v>
      </c>
      <c r="C12" s="35">
        <f>COUNTIF('Test Cases'!$C$2:$C$174,A12)</f>
        <v/>
      </c>
      <c r="D12" s="35">
        <f>COUNTIFS('Test Cases'!$C$2:$C$174,A12,'Test Cases'!$N$2:$N$174,1)</f>
        <v/>
      </c>
      <c r="E12" s="35">
        <f>COUNTIFS('Test Cases'!$C$2:$C$174,A12,'Test Cases'!$M$2:$M$174,"P1")</f>
        <v/>
      </c>
      <c r="F12" s="35">
        <f>COUNTIFS('Test Cases'!$C$2:$C$174,A12,'Test Cases'!$L$2:$L$174,"Critical")</f>
        <v/>
      </c>
      <c r="G12" s="35">
        <f>C12-B12</f>
        <v/>
      </c>
      <c r="H12" s="35">
        <f>IF(C12&gt;=B12,"Meets minimum","GAP")</f>
        <v/>
      </c>
    </row>
    <row r="13" ht="15" customHeight="1" s="23">
      <c r="A13" s="33" t="inlineStr">
        <is>
          <t>Documents &amp; Validation</t>
        </is>
      </c>
      <c r="B13" s="34" t="n">
        <v>4</v>
      </c>
      <c r="C13" s="35">
        <f>COUNTIF('Test Cases'!$C$2:$C$174,A13)</f>
        <v/>
      </c>
      <c r="D13" s="35">
        <f>COUNTIFS('Test Cases'!$C$2:$C$174,A13,'Test Cases'!$N$2:$N$174,1)</f>
        <v/>
      </c>
      <c r="E13" s="35">
        <f>COUNTIFS('Test Cases'!$C$2:$C$174,A13,'Test Cases'!$M$2:$M$174,"P1")</f>
        <v/>
      </c>
      <c r="F13" s="35">
        <f>COUNTIFS('Test Cases'!$C$2:$C$174,A13,'Test Cases'!$L$2:$L$174,"Critical")</f>
        <v/>
      </c>
      <c r="G13" s="35">
        <f>C13-B13</f>
        <v/>
      </c>
      <c r="H13" s="35">
        <f>IF(C13&gt;=B13,"Meets minimum","GAP")</f>
        <v/>
      </c>
    </row>
    <row r="14" ht="15" customHeight="1" s="23">
      <c r="A14" s="33" t="inlineStr">
        <is>
          <t>Submission &amp; Status</t>
        </is>
      </c>
      <c r="B14" s="34" t="n">
        <v>5</v>
      </c>
      <c r="C14" s="35">
        <f>COUNTIF('Test Cases'!$C$2:$C$174,A14)</f>
        <v/>
      </c>
      <c r="D14" s="35">
        <f>COUNTIFS('Test Cases'!$C$2:$C$174,A14,'Test Cases'!$N$2:$N$174,1)</f>
        <v/>
      </c>
      <c r="E14" s="35">
        <f>COUNTIFS('Test Cases'!$C$2:$C$174,A14,'Test Cases'!$M$2:$M$174,"P1")</f>
        <v/>
      </c>
      <c r="F14" s="35">
        <f>COUNTIFS('Test Cases'!$C$2:$C$174,A14,'Test Cases'!$L$2:$L$174,"Critical")</f>
        <v/>
      </c>
      <c r="G14" s="35">
        <f>C14-B14</f>
        <v/>
      </c>
      <c r="H14" s="35">
        <f>IF(C14&gt;=B14,"Meets minimum","GAP")</f>
        <v/>
      </c>
    </row>
    <row r="15" ht="15" customHeight="1" s="23">
      <c r="A15" s="33" t="inlineStr">
        <is>
          <t>API</t>
        </is>
      </c>
      <c r="B15" s="34" t="n">
        <v>8</v>
      </c>
      <c r="C15" s="35">
        <f>COUNTIF('Test Cases'!$C$2:$C$174,A15)</f>
        <v/>
      </c>
      <c r="D15" s="35">
        <f>COUNTIFS('Test Cases'!$C$2:$C$174,A15,'Test Cases'!$N$2:$N$174,1)</f>
        <v/>
      </c>
      <c r="E15" s="35">
        <f>COUNTIFS('Test Cases'!$C$2:$C$174,A15,'Test Cases'!$M$2:$M$174,"P1")</f>
        <v/>
      </c>
      <c r="F15" s="35">
        <f>COUNTIFS('Test Cases'!$C$2:$C$174,A15,'Test Cases'!$L$2:$L$174,"Critical")</f>
        <v/>
      </c>
      <c r="G15" s="35">
        <f>C15-B15</f>
        <v/>
      </c>
      <c r="H15" s="35">
        <f>IF(C15&gt;=B15,"Meets minimum","GAP")</f>
        <v/>
      </c>
    </row>
    <row r="16" ht="15" customHeight="1" s="23">
      <c r="A16" s="33" t="inlineStr">
        <is>
          <t>Cross-Cutting</t>
        </is>
      </c>
      <c r="B16" s="34" t="n">
        <v>0</v>
      </c>
      <c r="C16" s="35">
        <f>COUNTIF('Test Cases'!$C$2:$C$174,A16)</f>
        <v/>
      </c>
      <c r="D16" s="35">
        <f>COUNTIFS('Test Cases'!$C$2:$C$174,A16,'Test Cases'!$N$2:$N$174,1)</f>
        <v/>
      </c>
      <c r="E16" s="35">
        <f>COUNTIFS('Test Cases'!$C$2:$C$174,A16,'Test Cases'!$M$2:$M$174,"P1")</f>
        <v/>
      </c>
      <c r="F16" s="35">
        <f>COUNTIFS('Test Cases'!$C$2:$C$174,A16,'Test Cases'!$L$2:$L$174,"Critical")</f>
        <v/>
      </c>
      <c r="G16" s="35">
        <f>C16-B16</f>
        <v/>
      </c>
      <c r="H16" s="35">
        <f>IF(C16&gt;=B16,"Meets minimum","GAP")</f>
        <v/>
      </c>
    </row>
    <row r="17" ht="15" customHeight="1" s="23">
      <c r="A17" s="36" t="inlineStr">
        <is>
          <t>TOTAL</t>
        </is>
      </c>
      <c r="B17" s="37">
        <f>SUM(B5:B16)</f>
        <v/>
      </c>
      <c r="C17" s="37">
        <f>SUM(C5:C16)</f>
        <v/>
      </c>
      <c r="D17" s="37">
        <f>SUM(D5:D16)</f>
        <v/>
      </c>
      <c r="E17" s="37">
        <f>SUM(E5:E16)</f>
        <v/>
      </c>
      <c r="F17" s="37">
        <f>SUM(F5:F16)</f>
        <v/>
      </c>
      <c r="G17" s="37">
        <f>SUM(G5:G16)</f>
        <v/>
      </c>
      <c r="H17" s="37">
        <f>IF(C17&gt;=B17,"Meets 60","Below 60")</f>
        <v/>
      </c>
    </row>
    <row r="19" ht="15" customHeight="1" s="23">
      <c r="A19" s="25" t="inlineStr">
        <is>
          <t>Reduced-scope option</t>
        </is>
      </c>
    </row>
    <row r="20" ht="15" customHeight="1" s="23">
      <c r="A20" s="28" t="inlineStr">
        <is>
          <t>Short-cohort set (30-35 tests): Wave 1 + all Critical cases + 5 extras (lockout, rider rules, premium) so auth, one E2E, allocation, rider rules, API and reporting stay covered. Count flagged 'Y':</t>
        </is>
      </c>
      <c r="D20" s="28">
        <f>COUNTIF('Test Cases'!$U$2:$U$174,"Y")</f>
        <v/>
      </c>
    </row>
    <row r="21" ht="15" customHeight="1" s="23">
      <c r="A21" s="28" t="inlineStr">
        <is>
          <t>Wave 1 (smoke) cases:</t>
        </is>
      </c>
      <c r="D21" s="28">
        <f>COUNTIF('Test Cases'!$N$2:$N$174,1)</f>
        <v/>
      </c>
    </row>
    <row r="23" ht="15" customHeight="1" s="23">
      <c r="A23" s="25" t="inlineStr">
        <is>
          <t>Automation progress</t>
        </is>
      </c>
    </row>
    <row r="24" ht="15" customHeight="1" s="23">
      <c r="A24" s="28" t="inlineStr">
        <is>
          <t>Not started</t>
        </is>
      </c>
      <c r="D24" s="28">
        <f>COUNTIF('Test Cases'!$Q$2:$Q$174,A24)</f>
        <v/>
      </c>
    </row>
    <row r="25" ht="15" customHeight="1" s="23">
      <c r="A25" s="28" t="inlineStr">
        <is>
          <t>In progress</t>
        </is>
      </c>
      <c r="D25" s="28">
        <f>COUNTIF('Test Cases'!$Q$2:$Q$174,A25)</f>
        <v/>
      </c>
    </row>
    <row r="26" ht="15" customHeight="1" s="23">
      <c r="A26" s="28" t="inlineStr">
        <is>
          <t>Automated</t>
        </is>
      </c>
      <c r="D26" s="28">
        <f>COUNTIF('Test Cases'!$Q$2:$Q$174,A26)</f>
        <v/>
      </c>
    </row>
    <row r="27" ht="15" customHeight="1" s="23">
      <c r="A27" s="28" t="inlineStr">
        <is>
          <t>Manual only</t>
        </is>
      </c>
      <c r="D27" s="28">
        <f>COUNTIF('Test Cases'!$Q$2:$Q$174,A27)</f>
        <v/>
      </c>
    </row>
    <row r="28" ht="15" customHeight="1" s="23">
      <c r="A28" s="28" t="inlineStr">
        <is>
          <t>Blocked</t>
        </is>
      </c>
      <c r="D28" s="28">
        <f>COUNTIF('Test Cases'!$Q$2:$Q$174,A28)</f>
        <v/>
      </c>
    </row>
    <row r="29" ht="15" customHeight="1" s="23">
      <c r="A29" s="28" t="inlineStr">
        <is>
          <t>Not applicable</t>
        </is>
      </c>
      <c r="D29" s="28">
        <f>COUNTIF('Test Cases'!$Q$2:$Q$174,A29)</f>
        <v/>
      </c>
    </row>
    <row r="31" ht="15" customHeight="1" s="23">
      <c r="A31" s="25" t="inlineStr">
        <is>
          <t>Test type split</t>
        </is>
      </c>
    </row>
    <row r="32" ht="15" customHeight="1" s="23">
      <c r="A32" s="28" t="inlineStr">
        <is>
          <t>UI</t>
        </is>
      </c>
      <c r="D32" s="28">
        <f>COUNTIF('Test Cases'!$D$2:$D$174,A32)</f>
        <v/>
      </c>
    </row>
    <row r="33" ht="15" customHeight="1" s="23">
      <c r="A33" s="28" t="inlineStr">
        <is>
          <t>API</t>
        </is>
      </c>
      <c r="D33" s="28">
        <f>COUNTIF('Test Cases'!$D$2:$D$174,A33)</f>
        <v/>
      </c>
    </row>
    <row r="34" ht="15" customHeight="1" s="23">
      <c r="A34" s="28" t="inlineStr">
        <is>
          <t>E2E</t>
        </is>
      </c>
      <c r="D34" s="28">
        <f>COUNTIF('Test Cases'!$D$2:$D$174,A34)</f>
        <v/>
      </c>
    </row>
    <row r="36" ht="15" customHeight="1" s="23">
      <c r="A36" s="25" t="inlineStr">
        <is>
          <t>Scenario mix (guards against happy-path-only suites)</t>
        </is>
      </c>
    </row>
    <row r="37" ht="15" customHeight="1" s="23">
      <c r="A37" s="28" t="inlineStr">
        <is>
          <t>Positive</t>
        </is>
      </c>
      <c r="D37" s="28">
        <f>COUNTIF('Test Cases'!$V$2:$V$174,A37)</f>
        <v/>
      </c>
      <c r="E37" s="38">
        <f>D37/SUM($D$37:$D$39)</f>
        <v/>
      </c>
    </row>
    <row r="38" ht="15" customHeight="1" s="23">
      <c r="A38" s="28" t="inlineStr">
        <is>
          <t>Negative</t>
        </is>
      </c>
      <c r="D38" s="28">
        <f>COUNTIF('Test Cases'!$V$2:$V$174,A38)</f>
        <v/>
      </c>
      <c r="E38" s="38">
        <f>D38/SUM($D$37:$D$39)</f>
        <v/>
      </c>
    </row>
    <row r="39" ht="15" customHeight="1" s="23">
      <c r="A39" s="28" t="inlineStr">
        <is>
          <t>Boundary</t>
        </is>
      </c>
      <c r="D39" s="28">
        <f>COUNTIF('Test Cases'!$V$2:$V$174,A39)</f>
        <v/>
      </c>
      <c r="E39" s="38">
        <f>D39/SUM($D$37:$D$39)</f>
        <v/>
      </c>
    </row>
    <row r="40" ht="15" customHeight="1" s="23">
      <c r="A40" s="25" t="inlineStr">
        <is>
          <t>Negative + Boundary share (target: at least 50%)</t>
        </is>
      </c>
      <c r="D40" s="39">
        <f>(D38+D39)/SUM(D37:D39)</f>
        <v/>
      </c>
    </row>
    <row r="42" ht="15" customHeight="1" s="23">
      <c r="A42" s="25" t="inlineStr">
        <is>
          <t>Execution results (run 23-Oct-2026)</t>
        </is>
      </c>
    </row>
    <row r="43" ht="15" customHeight="1" s="23">
      <c r="A43" s="28" t="inlineStr">
        <is>
          <t>Pass</t>
        </is>
      </c>
      <c r="D43" s="28">
        <f>COUNTIF('Test Cases'!$S$2:$S$174,A43)</f>
        <v/>
      </c>
    </row>
    <row r="44" ht="15" customHeight="1" s="23">
      <c r="A44" s="28" t="inlineStr">
        <is>
          <t>Fail</t>
        </is>
      </c>
      <c r="D44" s="28">
        <f>COUNTIF('Test Cases'!$S$2:$S$174,A44)</f>
        <v/>
      </c>
    </row>
    <row r="45" ht="15" customHeight="1" s="23">
      <c r="A45" s="28" t="inlineStr">
        <is>
          <t>Skipped</t>
        </is>
      </c>
      <c r="D45" s="28">
        <f>COUNTIF('Test Cases'!$S$2:$S$174,A45)</f>
        <v/>
      </c>
    </row>
    <row r="46" ht="15" customHeight="1" s="23">
      <c r="A46" s="28" t="inlineStr">
        <is>
          <t>Blocked</t>
        </is>
      </c>
      <c r="D46" s="28">
        <f>COUNTIF('Test Cases'!$S$2:$S$174,A46)</f>
        <v/>
      </c>
    </row>
    <row r="47" ht="15" customHeight="1" s="23">
      <c r="A47" s="28" t="inlineStr">
        <is>
          <t>Not run</t>
        </is>
      </c>
      <c r="D47" s="28">
        <f>COUNTIF('Test Cases'!$S$2:$S$174,A47)</f>
        <v/>
      </c>
    </row>
    <row r="48" ht="15" customHeight="1" s="23">
      <c r="A48" s="28" t="inlineStr">
        <is>
          <t>Total (must equal 123 Playwright tests)</t>
        </is>
      </c>
      <c r="D48" s="28">
        <f>SUM(D43:D47)</f>
        <v/>
      </c>
    </row>
    <row r="49" ht="15" customHeight="1" s="23">
      <c r="A49" s="28" t="inlineStr">
        <is>
          <t>of which Fail = seeded defect (by design)</t>
        </is>
      </c>
      <c r="D49" s="28">
        <f>COUNTIFS('Test Cases'!$S$2:$S$174,"Fail",'Test Cases'!$G$2:$G$174,"DEF-*")</f>
        <v/>
      </c>
    </row>
  </sheetData>
  <conditionalFormatting sqref="H5:H17">
    <cfRule type="expression" rank="0" priority="2" equalAverage="0" aboveAverage="0" dxfId="12" text="" percent="0" bottom="0">
      <formula>LEFT(H5,3)="GAP"</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3864"/>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2" min="1" max="1"/>
    <col width="18" customWidth="1" style="22" min="2" max="2"/>
    <col width="62" customWidth="1" style="22" min="3" max="3"/>
    <col width="11" customWidth="1" style="22" min="4" max="4"/>
    <col width="13" customWidth="1" style="22" min="5" max="5"/>
    <col width="20" customWidth="1" style="22" min="6" max="6"/>
  </cols>
  <sheetData>
    <row r="1" ht="17.35" customHeight="1" s="23">
      <c r="A1" s="24" t="inlineStr">
        <is>
          <t>Traceability: Submission 1 Risk Register (QR-01..QR-14) to Test Cases</t>
        </is>
      </c>
    </row>
    <row r="3" ht="15" customHeight="1" s="23">
      <c r="A3" s="30" t="inlineStr">
        <is>
          <t>Risk ID</t>
        </is>
      </c>
      <c r="B3" s="30" t="inlineStr">
        <is>
          <t>Area</t>
        </is>
      </c>
      <c r="C3" s="30" t="inlineStr">
        <is>
          <t>Risk (from Submission 1)</t>
        </is>
      </c>
      <c r="D3" s="30" t="inlineStr">
        <is>
          <t>Priority</t>
        </is>
      </c>
      <c r="E3" s="30" t="inlineStr">
        <is>
          <t># Test Cases</t>
        </is>
      </c>
      <c r="F3" s="30" t="inlineStr">
        <is>
          <t>Coverage</t>
        </is>
      </c>
    </row>
    <row r="4" ht="15" customHeight="1" s="23">
      <c r="A4" s="32" t="inlineStr">
        <is>
          <t>QR-01</t>
        </is>
      </c>
      <c r="B4" s="32" t="inlineStr">
        <is>
          <t>Authentication</t>
        </is>
      </c>
      <c r="C4" s="32" t="inlineStr">
        <is>
          <t>Unauthorized protected-route or API access</t>
        </is>
      </c>
      <c r="D4" s="32" t="inlineStr">
        <is>
          <t>Critical</t>
        </is>
      </c>
      <c r="E4" s="31">
        <f>COUNTIF('Test Cases'!$F$2:$F$174,"*"&amp;A4&amp;"*")</f>
        <v/>
      </c>
      <c r="F4" s="31">
        <f>IF(E4&gt;0,"Covered by test cases",IF(OR(A4="QR-11",A4="QR-12",A4="QR-13",A4="QR-14"),"Covered by framework/config","GAP"))</f>
        <v/>
      </c>
    </row>
    <row r="5" ht="15" customHeight="1" s="23">
      <c r="A5" s="32" t="inlineStr">
        <is>
          <t>QR-02</t>
        </is>
      </c>
      <c r="B5" s="32" t="inlineStr">
        <is>
          <t>Dashboard</t>
        </is>
      </c>
      <c r="C5" s="32" t="inlineStr">
        <is>
          <t>Cross-agent data exposure or incorrect status</t>
        </is>
      </c>
      <c r="D5" s="32" t="inlineStr">
        <is>
          <t>Critical</t>
        </is>
      </c>
      <c r="E5" s="31">
        <f>COUNTIF('Test Cases'!$F$2:$F$174,"*"&amp;A5&amp;"*")</f>
        <v/>
      </c>
      <c r="F5" s="31">
        <f>IF(E5&gt;0,"Covered by test cases",IF(OR(A5="QR-11",A5="QR-12",A5="QR-13",A5="QR-14"),"Covered by framework/config","GAP"))</f>
        <v/>
      </c>
    </row>
    <row r="6" ht="15" customHeight="1" s="23">
      <c r="A6" s="32" t="inlineStr">
        <is>
          <t>QR-03</t>
        </is>
      </c>
      <c r="B6" s="32" t="inlineStr">
        <is>
          <t>Client</t>
        </is>
      </c>
      <c r="C6" s="32" t="inlineStr">
        <is>
          <t>DOB boundary or age calculation failure</t>
        </is>
      </c>
      <c r="D6" s="32" t="inlineStr">
        <is>
          <t>Critical</t>
        </is>
      </c>
      <c r="E6" s="31">
        <f>COUNTIF('Test Cases'!$F$2:$F$174,"*"&amp;A6&amp;"*")</f>
        <v/>
      </c>
      <c r="F6" s="31">
        <f>IF(E6&gt;0,"Covered by test cases",IF(OR(A6="QR-11",A6="QR-12",A6="QR-13",A6="QR-14"),"Covered by framework/config","GAP"))</f>
        <v/>
      </c>
    </row>
    <row r="7" ht="15" customHeight="1" s="23">
      <c r="A7" s="32" t="inlineStr">
        <is>
          <t>QR-04</t>
        </is>
      </c>
      <c r="B7" s="32" t="inlineStr">
        <is>
          <t>KYC/Compliance</t>
        </is>
      </c>
      <c r="C7" s="32" t="inlineStr">
        <is>
          <t>Sensitive ID exposure or mandatory evidence bypass</t>
        </is>
      </c>
      <c r="D7" s="32" t="inlineStr">
        <is>
          <t>Critical</t>
        </is>
      </c>
      <c r="E7" s="31">
        <f>COUNTIF('Test Cases'!$F$2:$F$174,"*"&amp;A7&amp;"*")</f>
        <v/>
      </c>
      <c r="F7" s="31">
        <f>IF(E7&gt;0,"Covered by test cases",IF(OR(A7="QR-11",A7="QR-12",A7="QR-13",A7="QR-14"),"Covered by framework/config","GAP"))</f>
        <v/>
      </c>
    </row>
    <row r="8" ht="15" customHeight="1" s="23">
      <c r="A8" s="32" t="inlineStr">
        <is>
          <t>QR-05</t>
        </is>
      </c>
      <c r="B8" s="32" t="inlineStr">
        <is>
          <t>Product/Premium</t>
        </is>
      </c>
      <c r="C8" s="32" t="inlineStr">
        <is>
          <t>Invalid configuration or inconsistent premium</t>
        </is>
      </c>
      <c r="D8" s="32" t="inlineStr">
        <is>
          <t>Critical</t>
        </is>
      </c>
      <c r="E8" s="31">
        <f>COUNTIF('Test Cases'!$F$2:$F$174,"*"&amp;A8&amp;"*")</f>
        <v/>
      </c>
      <c r="F8" s="31">
        <f>IF(E8&gt;0,"Covered by test cases",IF(OR(A8="QR-11",A8="QR-12",A8="QR-13",A8="QR-14"),"Covered by framework/config","GAP"))</f>
        <v/>
      </c>
    </row>
    <row r="9" ht="15" customHeight="1" s="23">
      <c r="A9" s="32" t="inlineStr">
        <is>
          <t>QR-06</t>
        </is>
      </c>
      <c r="B9" s="32" t="inlineStr">
        <is>
          <t>Riders</t>
        </is>
      </c>
      <c r="C9" s="32" t="inlineStr">
        <is>
          <t>Eligibility, coverage, count or exclusion rule bypass</t>
        </is>
      </c>
      <c r="D9" s="32" t="inlineStr">
        <is>
          <t>Critical</t>
        </is>
      </c>
      <c r="E9" s="31">
        <f>COUNTIF('Test Cases'!$F$2:$F$174,"*"&amp;A9&amp;"*")</f>
        <v/>
      </c>
      <c r="F9" s="31">
        <f>IF(E9&gt;0,"Covered by test cases",IF(OR(A9="QR-11",A9="QR-12",A9="QR-13",A9="QR-14"),"Covered by framework/config","GAP"))</f>
        <v/>
      </c>
    </row>
    <row r="10" ht="15" customHeight="1" s="23">
      <c r="A10" s="32" t="inlineStr">
        <is>
          <t>QR-07</t>
        </is>
      </c>
      <c r="B10" s="32" t="inlineStr">
        <is>
          <t>Beneficiaries</t>
        </is>
      </c>
      <c r="C10" s="32" t="inlineStr">
        <is>
          <t>Invalid allocation, duplicate or missing guardian accepted</t>
        </is>
      </c>
      <c r="D10" s="32" t="inlineStr">
        <is>
          <t>Critical</t>
        </is>
      </c>
      <c r="E10" s="31">
        <f>COUNTIF('Test Cases'!$F$2:$F$174,"*"&amp;A10&amp;"*")</f>
        <v/>
      </c>
      <c r="F10" s="31">
        <f>IF(E10&gt;0,"Covered by test cases",IF(OR(A10="QR-11",A10="QR-12",A10="QR-13",A10="QR-14"),"Covered by framework/config","GAP"))</f>
        <v/>
      </c>
    </row>
    <row r="11" ht="15" customHeight="1" s="23">
      <c r="A11" s="32" t="inlineStr">
        <is>
          <t>QR-08</t>
        </is>
      </c>
      <c r="B11" s="32" t="inlineStr">
        <is>
          <t>Documents/Review</t>
        </is>
      </c>
      <c r="C11" s="32" t="inlineStr">
        <is>
          <t>Invalid upload or stale validation summary</t>
        </is>
      </c>
      <c r="D11" s="32" t="inlineStr">
        <is>
          <t>High</t>
        </is>
      </c>
      <c r="E11" s="31">
        <f>COUNTIF('Test Cases'!$F$2:$F$174,"*"&amp;A11&amp;"*")</f>
        <v/>
      </c>
      <c r="F11" s="31">
        <f>IF(E11&gt;0,"Covered by test cases",IF(OR(A11="QR-11",A11="QR-12",A11="QR-13",A11="QR-14"),"Covered by framework/config","GAP"))</f>
        <v/>
      </c>
    </row>
    <row r="12" ht="15" customHeight="1" s="23">
      <c r="A12" s="32" t="inlineStr">
        <is>
          <t>QR-09</t>
        </is>
      </c>
      <c r="B12" s="32" t="inlineStr">
        <is>
          <t>Submission</t>
        </is>
      </c>
      <c r="C12" s="32" t="inlineStr">
        <is>
          <t>Incomplete case submits or reference/state is wrong</t>
        </is>
      </c>
      <c r="D12" s="32" t="inlineStr">
        <is>
          <t>Critical</t>
        </is>
      </c>
      <c r="E12" s="31">
        <f>COUNTIF('Test Cases'!$F$2:$F$174,"*"&amp;A12&amp;"*")</f>
        <v/>
      </c>
      <c r="F12" s="31">
        <f>IF(E12&gt;0,"Covered by test cases",IF(OR(A12="QR-11",A12="QR-12",A12="QR-13",A12="QR-14"),"Covered by framework/config","GAP"))</f>
        <v/>
      </c>
    </row>
    <row r="13" ht="15" customHeight="1" s="23">
      <c r="A13" s="32" t="inlineStr">
        <is>
          <t>QR-10</t>
        </is>
      </c>
      <c r="B13" s="32" t="inlineStr">
        <is>
          <t>Persistence</t>
        </is>
      </c>
      <c r="C13" s="32" t="inlineStr">
        <is>
          <t>Draft or submitted values not saved accurately</t>
        </is>
      </c>
      <c r="D13" s="32" t="inlineStr">
        <is>
          <t>High</t>
        </is>
      </c>
      <c r="E13" s="31">
        <f>COUNTIF('Test Cases'!$F$2:$F$174,"*"&amp;A13&amp;"*")</f>
        <v/>
      </c>
      <c r="F13" s="31">
        <f>IF(E13&gt;0,"Covered by test cases",IF(OR(A13="QR-11",A13="QR-12",A13="QR-13",A13="QR-14"),"Covered by framework/config","GAP"))</f>
        <v/>
      </c>
    </row>
    <row r="14" ht="23.85" customHeight="1" s="23">
      <c r="A14" s="32" t="inlineStr">
        <is>
          <t>QR-11</t>
        </is>
      </c>
      <c r="B14" s="32" t="inlineStr">
        <is>
          <t>Automation</t>
        </is>
      </c>
      <c r="C14" s="32" t="inlineStr">
        <is>
          <t>Flaky checks or weak evidence hides true result</t>
        </is>
      </c>
      <c r="D14" s="32" t="inlineStr">
        <is>
          <t>Medium</t>
        </is>
      </c>
      <c r="E14" s="31">
        <f>COUNTIF('Test Cases'!$F$2:$F$174,"*"&amp;A14&amp;"*")</f>
        <v/>
      </c>
      <c r="F14" s="31">
        <f>IF(E14&gt;0,"Covered by test cases",IF(OR(A14="QR-11",A14="QR-12",A14="QR-13",A14="QR-14"),"Covered by framework/config","GAP"))</f>
        <v/>
      </c>
    </row>
    <row r="15" ht="23.85" customHeight="1" s="23">
      <c r="A15" s="32" t="inlineStr">
        <is>
          <t>QR-12</t>
        </is>
      </c>
      <c r="B15" s="32" t="inlineStr">
        <is>
          <t>Test Data</t>
        </is>
      </c>
      <c r="C15" s="32" t="inlineStr">
        <is>
          <t>Seed collision or reset changes expected state</t>
        </is>
      </c>
      <c r="D15" s="32" t="inlineStr">
        <is>
          <t>High</t>
        </is>
      </c>
      <c r="E15" s="31">
        <f>COUNTIF('Test Cases'!$F$2:$F$174,"*"&amp;A15&amp;"*")</f>
        <v/>
      </c>
      <c r="F15" s="31">
        <f>IF(E15&gt;0,"Covered by test cases",IF(OR(A15="QR-11",A15="QR-12",A15="QR-13",A15="QR-14"),"Covered by framework/config","GAP"))</f>
        <v/>
      </c>
    </row>
    <row r="16" ht="15" customHeight="1" s="23">
      <c r="A16" s="32" t="inlineStr">
        <is>
          <t>QR-13</t>
        </is>
      </c>
      <c r="B16" s="32" t="inlineStr">
        <is>
          <t>Cross-browser</t>
        </is>
      </c>
      <c r="C16" s="32" t="inlineStr">
        <is>
          <t>Critical workflow differs on supported browser</t>
        </is>
      </c>
      <c r="D16" s="32" t="inlineStr">
        <is>
          <t>Medium</t>
        </is>
      </c>
      <c r="E16" s="31">
        <f>COUNTIF('Test Cases'!$F$2:$F$174,"*"&amp;A16&amp;"*")</f>
        <v/>
      </c>
      <c r="F16" s="31">
        <f>IF(E16&gt;0,"Covered by test cases",IF(OR(A16="QR-11",A16="QR-12",A16="QR-13",A16="QR-14"),"Covered by framework/config","GAP"))</f>
        <v/>
      </c>
    </row>
    <row r="17" ht="23.85" customHeight="1" s="23">
      <c r="A17" s="32" t="inlineStr">
        <is>
          <t>QR-14</t>
        </is>
      </c>
      <c r="B17" s="32" t="inlineStr">
        <is>
          <t>Environment</t>
        </is>
      </c>
      <c r="C17" s="32" t="inlineStr">
        <is>
          <t>Shared service or dependency prevents valid testing</t>
        </is>
      </c>
      <c r="D17" s="32" t="inlineStr">
        <is>
          <t>High</t>
        </is>
      </c>
      <c r="E17" s="31">
        <f>COUNTIF('Test Cases'!$F$2:$F$174,"*"&amp;A17&amp;"*")</f>
        <v/>
      </c>
      <c r="F17" s="31">
        <f>IF(E17&gt;0,"Covered by test cases",IF(OR(A17="QR-11",A17="QR-12",A17="QR-13",A17="QR-14"),"Covered by framework/config","GAP"))</f>
        <v/>
      </c>
    </row>
    <row r="19" ht="15" customHeight="1" s="23">
      <c r="A19" s="27" t="inlineStr">
        <is>
          <t>QR-11 to QR-14 are addressed by framework design, not individual test cases: stable locators and trace/screenshot config (QR-11), unique generated data per run plus reserved seed users (QR-12), the Chromium/Firefox/WebKit projects in playwright.config.ts (QR-13), and a health-check / global-setup step (QR-14). They are documented in the README.</t>
        </is>
      </c>
    </row>
    <row r="20" ht="15" customHeight="1" s="23"/>
    <row r="21" ht="15" customHeight="1" s="23"/>
  </sheetData>
  <mergeCells count="1">
    <mergeCell ref="A19:F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F3864"/>
    <outlinePr summaryBelow="1" summaryRight="1"/>
    <pageSetUpPr fitToPage="0"/>
  </sheetPr>
  <dimension ref="A1:E7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2" min="1" max="1"/>
    <col width="62" customWidth="1" style="22" min="2" max="2"/>
    <col width="28" customWidth="1" style="22" min="3" max="3"/>
    <col width="11" customWidth="1" style="22" min="4" max="4"/>
    <col width="14" customWidth="1" style="22" min="5" max="5"/>
  </cols>
  <sheetData>
    <row r="1" ht="17.35" customHeight="1" s="23">
      <c r="A1" s="24" t="inlineStr">
        <is>
          <t>Every Validation ID in the problem statement mapped to a test case</t>
        </is>
      </c>
    </row>
    <row r="3" ht="15" customHeight="1" s="23">
      <c r="A3" s="30" t="inlineStr">
        <is>
          <t>Validation ID</t>
        </is>
      </c>
      <c r="B3" s="30" t="inlineStr">
        <is>
          <t>Scenario (from Functional Module Descriptions)</t>
        </is>
      </c>
      <c r="C3" s="30" t="inlineStr">
        <is>
          <t>Mapped Test Case(s)</t>
        </is>
      </c>
      <c r="D3" s="30" t="inlineStr">
        <is>
          <t># Mapped</t>
        </is>
      </c>
      <c r="E3" s="30" t="inlineStr">
        <is>
          <t>Status</t>
        </is>
      </c>
    </row>
    <row r="4" ht="15" customHeight="1" s="23">
      <c r="A4" s="32" t="inlineStr">
        <is>
          <t>AUTH-V01</t>
        </is>
      </c>
      <c r="B4" s="32" t="inlineStr">
        <is>
          <t>Valid agent can log in successfully</t>
        </is>
      </c>
      <c r="C4" s="32" t="inlineStr">
        <is>
          <t>TC-AUTH-01</t>
        </is>
      </c>
      <c r="D4" s="31">
        <f>COUNTIF('Test Cases'!$E$2:$E$174,"*"&amp;A4&amp;"*")</f>
        <v/>
      </c>
      <c r="E4" s="31">
        <f>IF(D4&gt;0,"Covered","GAP")</f>
        <v/>
      </c>
    </row>
    <row r="5" ht="15" customHeight="1" s="23">
      <c r="A5" s="32" t="inlineStr">
        <is>
          <t>AUTH-V02</t>
        </is>
      </c>
      <c r="B5" s="32" t="inlineStr">
        <is>
          <t>Invalid password displays correct error message</t>
        </is>
      </c>
      <c r="C5" s="32" t="inlineStr">
        <is>
          <t>TC-AUTH-02</t>
        </is>
      </c>
      <c r="D5" s="31">
        <f>COUNTIF('Test Cases'!$E$2:$E$174,"*"&amp;A5&amp;"*")</f>
        <v/>
      </c>
      <c r="E5" s="31">
        <f>IF(D5&gt;0,"Covered","GAP")</f>
        <v/>
      </c>
    </row>
    <row r="6" ht="15" customHeight="1" s="23">
      <c r="A6" s="32" t="inlineStr">
        <is>
          <t>AUTH-V03</t>
        </is>
      </c>
      <c r="B6" s="32" t="inlineStr">
        <is>
          <t>Blank username and password show mandatory validation</t>
        </is>
      </c>
      <c r="C6" s="32" t="inlineStr">
        <is>
          <t>TC-AUTH-03</t>
        </is>
      </c>
      <c r="D6" s="31">
        <f>COUNTIF('Test Cases'!$E$2:$E$174,"*"&amp;A6&amp;"*")</f>
        <v/>
      </c>
      <c r="E6" s="31">
        <f>IF(D6&gt;0,"Covered","GAP")</f>
        <v/>
      </c>
    </row>
    <row r="7" ht="15" customHeight="1" s="23">
      <c r="A7" s="32" t="inlineStr">
        <is>
          <t>AUTH-V04</t>
        </is>
      </c>
      <c r="B7" s="32" t="inlineStr">
        <is>
          <t>Logout clears session and redirects to login page</t>
        </is>
      </c>
      <c r="C7" s="32" t="inlineStr">
        <is>
          <t>TC-AUTH-04</t>
        </is>
      </c>
      <c r="D7" s="31">
        <f>COUNTIF('Test Cases'!$E$2:$E$174,"*"&amp;A7&amp;"*")</f>
        <v/>
      </c>
      <c r="E7" s="31">
        <f>IF(D7&gt;0,"Covered","GAP")</f>
        <v/>
      </c>
    </row>
    <row r="8" ht="15" customHeight="1" s="23">
      <c r="A8" s="32" t="inlineStr">
        <is>
          <t>AUTH-V05</t>
        </is>
      </c>
      <c r="B8" s="32" t="inlineStr">
        <is>
          <t>Direct access to dashboard without login is blocked</t>
        </is>
      </c>
      <c r="C8" s="32" t="inlineStr">
        <is>
          <t>TC-AUTH-05</t>
        </is>
      </c>
      <c r="D8" s="31">
        <f>COUNTIF('Test Cases'!$E$2:$E$174,"*"&amp;A8&amp;"*")</f>
        <v/>
      </c>
      <c r="E8" s="31">
        <f>IF(D8&gt;0,"Covered","GAP")</f>
        <v/>
      </c>
    </row>
    <row r="9" ht="15" customHeight="1" s="23">
      <c r="A9" s="32" t="inlineStr">
        <is>
          <t>AUTH-V06</t>
        </is>
      </c>
      <c r="B9" s="32" t="inlineStr">
        <is>
          <t>Locked user cannot access dashboard</t>
        </is>
      </c>
      <c r="C9" s="32" t="inlineStr">
        <is>
          <t>TC-AUTH-06</t>
        </is>
      </c>
      <c r="D9" s="31">
        <f>COUNTIF('Test Cases'!$E$2:$E$174,"*"&amp;A9&amp;"*")</f>
        <v/>
      </c>
      <c r="E9" s="31">
        <f>IF(D9&gt;0,"Covered","GAP")</f>
        <v/>
      </c>
    </row>
    <row r="10" ht="15" customHeight="1" s="23">
      <c r="A10" s="32" t="inlineStr">
        <is>
          <t>AUTH-V07</t>
        </is>
      </c>
      <c r="B10" s="32" t="inlineStr">
        <is>
          <t>Account locks after five failed login attempts</t>
        </is>
      </c>
      <c r="C10" s="32" t="inlineStr">
        <is>
          <t>TC-AUTH-07</t>
        </is>
      </c>
      <c r="D10" s="31">
        <f>COUNTIF('Test Cases'!$E$2:$E$174,"*"&amp;A10&amp;"*")</f>
        <v/>
      </c>
      <c r="E10" s="31">
        <f>IF(D10&gt;0,"Covered","GAP")</f>
        <v/>
      </c>
    </row>
    <row r="11" ht="15" customHeight="1" s="23">
      <c r="A11" s="32" t="inlineStr">
        <is>
          <t>AUTH-V08</t>
        </is>
      </c>
      <c r="B11" s="32" t="inlineStr">
        <is>
          <t>Password policy rejects weak password</t>
        </is>
      </c>
      <c r="C11" s="32" t="inlineStr">
        <is>
          <t>TC-AUTH-08</t>
        </is>
      </c>
      <c r="D11" s="31">
        <f>COUNTIF('Test Cases'!$E$2:$E$174,"*"&amp;A11&amp;"*")</f>
        <v/>
      </c>
      <c r="E11" s="31">
        <f>IF(D11&gt;0,"Covered","GAP")</f>
        <v/>
      </c>
    </row>
    <row r="12" ht="15" customHeight="1" s="23">
      <c r="A12" s="32" t="inlineStr">
        <is>
          <t>DASH-V01</t>
        </is>
      </c>
      <c r="B12" s="32" t="inlineStr">
        <is>
          <t>Dashboard loads after successful login</t>
        </is>
      </c>
      <c r="C12" s="32" t="inlineStr">
        <is>
          <t>TC-DASH-01</t>
        </is>
      </c>
      <c r="D12" s="31">
        <f>COUNTIF('Test Cases'!$E$2:$E$174,"*"&amp;A12&amp;"*")</f>
        <v/>
      </c>
      <c r="E12" s="31">
        <f>IF(D12&gt;0,"Covered","GAP")</f>
        <v/>
      </c>
    </row>
    <row r="13" ht="15" customHeight="1" s="23">
      <c r="A13" s="32" t="inlineStr">
        <is>
          <t>DASH-V02</t>
        </is>
      </c>
      <c r="B13" s="32" t="inlineStr">
        <is>
          <t>Agent sees only own applications</t>
        </is>
      </c>
      <c r="C13" s="32" t="inlineStr">
        <is>
          <t>TC-DASH-02</t>
        </is>
      </c>
      <c r="D13" s="31">
        <f>COUNTIF('Test Cases'!$E$2:$E$174,"*"&amp;A13&amp;"*")</f>
        <v/>
      </c>
      <c r="E13" s="31">
        <f>IF(D13&gt;0,"Covered","GAP")</f>
        <v/>
      </c>
    </row>
    <row r="14" ht="15" customHeight="1" s="23">
      <c r="A14" s="32" t="inlineStr">
        <is>
          <t>DASH-V03</t>
        </is>
      </c>
      <c r="B14" s="32" t="inlineStr">
        <is>
          <t>New agent sees empty application state</t>
        </is>
      </c>
      <c r="C14" s="32" t="inlineStr">
        <is>
          <t>TC-DASH-03</t>
        </is>
      </c>
      <c r="D14" s="31">
        <f>COUNTIF('Test Cases'!$E$2:$E$174,"*"&amp;A14&amp;"*")</f>
        <v/>
      </c>
      <c r="E14" s="31">
        <f>IF(D14&gt;0,"Covered","GAP")</f>
        <v/>
      </c>
    </row>
    <row r="15" ht="15" customHeight="1" s="23">
      <c r="A15" s="32" t="inlineStr">
        <is>
          <t>DASH-V04</t>
        </is>
      </c>
      <c r="B15" s="32" t="inlineStr">
        <is>
          <t>Draft application can be resumed</t>
        </is>
      </c>
      <c r="C15" s="32" t="inlineStr">
        <is>
          <t>TC-DASH-04</t>
        </is>
      </c>
      <c r="D15" s="31">
        <f>COUNTIF('Test Cases'!$E$2:$E$174,"*"&amp;A15&amp;"*")</f>
        <v/>
      </c>
      <c r="E15" s="31">
        <f>IF(D15&gt;0,"Covered","GAP")</f>
        <v/>
      </c>
    </row>
    <row r="16" ht="15" customHeight="1" s="23">
      <c r="A16" s="32" t="inlineStr">
        <is>
          <t>DASH-V05</t>
        </is>
      </c>
      <c r="B16" s="32" t="inlineStr">
        <is>
          <t>Application status filter works correctly</t>
        </is>
      </c>
      <c r="C16" s="32" t="inlineStr">
        <is>
          <t>TC-DASH-05</t>
        </is>
      </c>
      <c r="D16" s="31">
        <f>COUNTIF('Test Cases'!$E$2:$E$174,"*"&amp;A16&amp;"*")</f>
        <v/>
      </c>
      <c r="E16" s="31">
        <f>IF(D16&gt;0,"Covered","GAP")</f>
        <v/>
      </c>
    </row>
    <row r="17" ht="15" customHeight="1" s="23">
      <c r="A17" s="32" t="inlineStr">
        <is>
          <t>DASH-V06</t>
        </is>
      </c>
      <c r="B17" s="32" t="inlineStr">
        <is>
          <t>Dashboard application status matches API response</t>
        </is>
      </c>
      <c r="C17" s="32" t="inlineStr">
        <is>
          <t>TC-DASH-06</t>
        </is>
      </c>
      <c r="D17" s="31">
        <f>COUNTIF('Test Cases'!$E$2:$E$174,"*"&amp;A17&amp;"*")</f>
        <v/>
      </c>
      <c r="E17" s="31">
        <f>IF(D17&gt;0,"Covered","GAP")</f>
        <v/>
      </c>
    </row>
    <row r="18" ht="15" customHeight="1" s="23">
      <c r="A18" s="32" t="inlineStr">
        <is>
          <t>CLI-V01</t>
        </is>
      </c>
      <c r="B18" s="32" t="inlineStr">
        <is>
          <t>Agent can enter valid insured personal information</t>
        </is>
      </c>
      <c r="C18" s="32" t="inlineStr">
        <is>
          <t>TC-CLI-01</t>
        </is>
      </c>
      <c r="D18" s="31">
        <f>COUNTIF('Test Cases'!$E$2:$E$174,"*"&amp;A18&amp;"*")</f>
        <v/>
      </c>
      <c r="E18" s="31">
        <f>IF(D18&gt;0,"Covered","GAP")</f>
        <v/>
      </c>
    </row>
    <row r="19" ht="15" customHeight="1" s="23">
      <c r="A19" s="32" t="inlineStr">
        <is>
          <t>CLI-V02</t>
        </is>
      </c>
      <c r="B19" s="32" t="inlineStr">
        <is>
          <t>Mandatory personal fields are validated</t>
        </is>
      </c>
      <c r="C19" s="32" t="inlineStr">
        <is>
          <t>TC-CLI-02</t>
        </is>
      </c>
      <c r="D19" s="31">
        <f>COUNTIF('Test Cases'!$E$2:$E$174,"*"&amp;A19&amp;"*")</f>
        <v/>
      </c>
      <c r="E19" s="31">
        <f>IF(D19&gt;0,"Covered","GAP")</f>
        <v/>
      </c>
    </row>
    <row r="20" ht="15" customHeight="1" s="23">
      <c r="A20" s="32" t="inlineStr">
        <is>
          <t>CLI-V03</t>
        </is>
      </c>
      <c r="B20" s="32" t="inlineStr">
        <is>
          <t>DOB below 18 years is rejected</t>
        </is>
      </c>
      <c r="C20" s="32" t="inlineStr">
        <is>
          <t>TC-CLI-03</t>
        </is>
      </c>
      <c r="D20" s="31">
        <f>COUNTIF('Test Cases'!$E$2:$E$174,"*"&amp;A20&amp;"*")</f>
        <v/>
      </c>
      <c r="E20" s="31">
        <f>IF(D20&gt;0,"Covered","GAP")</f>
        <v/>
      </c>
    </row>
    <row r="21" ht="15" customHeight="1" s="23">
      <c r="A21" s="32" t="inlineStr">
        <is>
          <t>CLI-V04</t>
        </is>
      </c>
      <c r="B21" s="32" t="inlineStr">
        <is>
          <t>DOB above 65 years is rejected</t>
        </is>
      </c>
      <c r="C21" s="32" t="inlineStr">
        <is>
          <t>TC-CLI-04</t>
        </is>
      </c>
      <c r="D21" s="31">
        <f>COUNTIF('Test Cases'!$E$2:$E$174,"*"&amp;A21&amp;"*")</f>
        <v/>
      </c>
      <c r="E21" s="31">
        <f>IF(D21&gt;0,"Covered","GAP")</f>
        <v/>
      </c>
    </row>
    <row r="22" ht="15" customHeight="1" s="23">
      <c r="A22" s="32" t="inlineStr">
        <is>
          <t>CLI-V05</t>
        </is>
      </c>
      <c r="B22" s="32" t="inlineStr">
        <is>
          <t>Future DOB is rejected</t>
        </is>
      </c>
      <c r="C22" s="32" t="inlineStr">
        <is>
          <t>TC-CLI-05</t>
        </is>
      </c>
      <c r="D22" s="31">
        <f>COUNTIF('Test Cases'!$E$2:$E$174,"*"&amp;A22&amp;"*")</f>
        <v/>
      </c>
      <c r="E22" s="31">
        <f>IF(D22&gt;0,"Covered","GAP")</f>
        <v/>
      </c>
    </row>
    <row r="23" ht="15" customHeight="1" s="23">
      <c r="A23" s="32" t="inlineStr">
        <is>
          <t>CLI-V06</t>
        </is>
      </c>
      <c r="B23" s="32" t="inlineStr">
        <is>
          <t>Same-as-residential address copies data to mailing address</t>
        </is>
      </c>
      <c r="C23" s="32" t="inlineStr">
        <is>
          <t>TC-ADDR-01</t>
        </is>
      </c>
      <c r="D23" s="31">
        <f>COUNTIF('Test Cases'!$E$2:$E$174,"*"&amp;A23&amp;"*")</f>
        <v/>
      </c>
      <c r="E23" s="31">
        <f>IF(D23&gt;0,"Covered","GAP")</f>
        <v/>
      </c>
    </row>
    <row r="24" ht="15" customHeight="1" s="23">
      <c r="A24" s="32" t="inlineStr">
        <is>
          <t>CLI-V07</t>
        </is>
      </c>
      <c r="B24" s="32" t="inlineStr">
        <is>
          <t>Invalid email and phone formats are rejected</t>
        </is>
      </c>
      <c r="C24" s="32" t="inlineStr">
        <is>
          <t>TC-ADDR-05, TC-ADDR-06</t>
        </is>
      </c>
      <c r="D24" s="31">
        <f>COUNTIF('Test Cases'!$E$2:$E$174,"*"&amp;A24&amp;"*")</f>
        <v/>
      </c>
      <c r="E24" s="31">
        <f>IF(D24&gt;0,"Covered","GAP")</f>
        <v/>
      </c>
    </row>
    <row r="25" ht="15" customHeight="1" s="23">
      <c r="A25" s="32" t="inlineStr">
        <is>
          <t>CLI-V08</t>
        </is>
      </c>
      <c r="B25" s="32" t="inlineStr">
        <is>
          <t>SSN is masked after entry</t>
        </is>
      </c>
      <c r="C25" s="32" t="inlineStr">
        <is>
          <t>TC-KYC-01</t>
        </is>
      </c>
      <c r="D25" s="31">
        <f>COUNTIF('Test Cases'!$E$2:$E$174,"*"&amp;A25&amp;"*")</f>
        <v/>
      </c>
      <c r="E25" s="31">
        <f>IF(D25&gt;0,"Covered","GAP")</f>
        <v/>
      </c>
    </row>
    <row r="26" ht="15" customHeight="1" s="23">
      <c r="A26" s="32" t="inlineStr">
        <is>
          <t>CLI-V09</t>
        </is>
      </c>
      <c r="B26" s="32" t="inlineStr">
        <is>
          <t>KYC upload rejects unsupported file type</t>
        </is>
      </c>
      <c r="C26" s="32" t="inlineStr">
        <is>
          <t>TC-KYC-03</t>
        </is>
      </c>
      <c r="D26" s="31">
        <f>COUNTIF('Test Cases'!$E$2:$E$174,"*"&amp;A26&amp;"*")</f>
        <v/>
      </c>
      <c r="E26" s="31">
        <f>IF(D26&gt;0,"Covered","GAP")</f>
        <v/>
      </c>
    </row>
    <row r="27" ht="15" customHeight="1" s="23">
      <c r="A27" s="32" t="inlineStr">
        <is>
          <t>CLI-V10</t>
        </is>
      </c>
      <c r="B27" s="32" t="inlineStr">
        <is>
          <t>PEP Yes requires additional details</t>
        </is>
      </c>
      <c r="C27" s="32" t="inlineStr">
        <is>
          <t>TC-KYC-04</t>
        </is>
      </c>
      <c r="D27" s="31">
        <f>COUNTIF('Test Cases'!$E$2:$E$174,"*"&amp;A27&amp;"*")</f>
        <v/>
      </c>
      <c r="E27" s="31">
        <f>IF(D27&gt;0,"Covered","GAP")</f>
        <v/>
      </c>
    </row>
    <row r="28" ht="15" customHeight="1" s="23">
      <c r="A28" s="32" t="inlineStr">
        <is>
          <t>PROD-V01</t>
        </is>
      </c>
      <c r="B28" s="32" t="inlineStr">
        <is>
          <t>Product catalog displays expected Whole Life products</t>
        </is>
      </c>
      <c r="C28" s="32" t="inlineStr">
        <is>
          <t>TC-PROD-01</t>
        </is>
      </c>
      <c r="D28" s="31">
        <f>COUNTIF('Test Cases'!$E$2:$E$174,"*"&amp;A28&amp;"*")</f>
        <v/>
      </c>
      <c r="E28" s="31">
        <f>IF(D28&gt;0,"Covered","GAP")</f>
        <v/>
      </c>
    </row>
    <row r="29" ht="15" customHeight="1" s="23">
      <c r="A29" s="32" t="inlineStr">
        <is>
          <t>PROD-V02</t>
        </is>
      </c>
      <c r="B29" s="32" t="inlineStr">
        <is>
          <t>Product details page opens correctly</t>
        </is>
      </c>
      <c r="C29" s="32" t="inlineStr">
        <is>
          <t>TC-PROD-02</t>
        </is>
      </c>
      <c r="D29" s="31">
        <f>COUNTIF('Test Cases'!$E$2:$E$174,"*"&amp;A29&amp;"*")</f>
        <v/>
      </c>
      <c r="E29" s="31">
        <f>IF(D29&gt;0,"Covered","GAP")</f>
        <v/>
      </c>
    </row>
    <row r="30" ht="15" customHeight="1" s="23">
      <c r="A30" s="32" t="inlineStr">
        <is>
          <t>PROD-V03</t>
        </is>
      </c>
      <c r="B30" s="32" t="inlineStr">
        <is>
          <t>Face value below minimum is rejected</t>
        </is>
      </c>
      <c r="C30" s="32" t="inlineStr">
        <is>
          <t>TC-PROD-03</t>
        </is>
      </c>
      <c r="D30" s="31">
        <f>COUNTIF('Test Cases'!$E$2:$E$174,"*"&amp;A30&amp;"*")</f>
        <v/>
      </c>
      <c r="E30" s="31">
        <f>IF(D30&gt;0,"Covered","GAP")</f>
        <v/>
      </c>
    </row>
    <row r="31" ht="15" customHeight="1" s="23">
      <c r="A31" s="32" t="inlineStr">
        <is>
          <t>PROD-V04</t>
        </is>
      </c>
      <c r="B31" s="32" t="inlineStr">
        <is>
          <t>Face value above maximum is rejected</t>
        </is>
      </c>
      <c r="C31" s="32" t="inlineStr">
        <is>
          <t>TC-PROD-04</t>
        </is>
      </c>
      <c r="D31" s="31">
        <f>COUNTIF('Test Cases'!$E$2:$E$174,"*"&amp;A31&amp;"*")</f>
        <v/>
      </c>
      <c r="E31" s="31">
        <f>IF(D31&gt;0,"Covered","GAP")</f>
        <v/>
      </c>
    </row>
    <row r="32" ht="15" customHeight="1" s="23">
      <c r="A32" s="32" t="inlineStr">
        <is>
          <t>PROD-V05</t>
        </is>
      </c>
      <c r="B32" s="32" t="inlineStr">
        <is>
          <t>Premium recalculates when frequency changes</t>
        </is>
      </c>
      <c r="C32" s="32" t="inlineStr">
        <is>
          <t>TC-PROD-05</t>
        </is>
      </c>
      <c r="D32" s="31">
        <f>COUNTIF('Test Cases'!$E$2:$E$174,"*"&amp;A32&amp;"*")</f>
        <v/>
      </c>
      <c r="E32" s="31">
        <f>IF(D32&gt;0,"Covered","GAP")</f>
        <v/>
      </c>
    </row>
    <row r="33" ht="15" customHeight="1" s="23">
      <c r="A33" s="32" t="inlineStr">
        <is>
          <t>PROD-V06</t>
        </is>
      </c>
      <c r="B33" s="32" t="inlineStr">
        <is>
          <t>Premium on review page matches configuration page</t>
        </is>
      </c>
      <c r="C33" s="32" t="inlineStr">
        <is>
          <t>TC-PROD-06</t>
        </is>
      </c>
      <c r="D33" s="31">
        <f>COUNTIF('Test Cases'!$E$2:$E$174,"*"&amp;A33&amp;"*")</f>
        <v/>
      </c>
      <c r="E33" s="31">
        <f>IF(D33&gt;0,"Covered","GAP")</f>
        <v/>
      </c>
    </row>
    <row r="34" ht="15" customHeight="1" s="23">
      <c r="A34" s="32" t="inlineStr">
        <is>
          <t>PROD-V07</t>
        </is>
      </c>
      <c r="B34" s="32" t="inlineStr">
        <is>
          <t>Product suitability warning appears for mismatch</t>
        </is>
      </c>
      <c r="C34" s="32" t="inlineStr">
        <is>
          <t>TC-PROD-07</t>
        </is>
      </c>
      <c r="D34" s="31">
        <f>COUNTIF('Test Cases'!$E$2:$E$174,"*"&amp;A34&amp;"*")</f>
        <v/>
      </c>
      <c r="E34" s="31">
        <f>IF(D34&gt;0,"Covered","GAP")</f>
        <v/>
      </c>
    </row>
    <row r="35" ht="15" customHeight="1" s="23">
      <c r="A35" s="32" t="inlineStr">
        <is>
          <t>RIDER-V01</t>
        </is>
      </c>
      <c r="B35" s="32" t="inlineStr">
        <is>
          <t>Agent can add an eligible protection rider</t>
        </is>
      </c>
      <c r="C35" s="32" t="inlineStr">
        <is>
          <t>TC-RID-01</t>
        </is>
      </c>
      <c r="D35" s="31">
        <f>COUNTIF('Test Cases'!$E$2:$E$174,"*"&amp;A35&amp;"*")</f>
        <v/>
      </c>
      <c r="E35" s="31">
        <f>IF(D35&gt;0,"Covered","GAP")</f>
        <v/>
      </c>
    </row>
    <row r="36" ht="15" customHeight="1" s="23">
      <c r="A36" s="32" t="inlineStr">
        <is>
          <t>RIDER-V02</t>
        </is>
      </c>
      <c r="B36" s="32" t="inlineStr">
        <is>
          <t>Rider coverage cannot exceed base face value</t>
        </is>
      </c>
      <c r="C36" s="32" t="inlineStr">
        <is>
          <t>TC-RID-02</t>
        </is>
      </c>
      <c r="D36" s="31">
        <f>COUNTIF('Test Cases'!$E$2:$E$174,"*"&amp;A36&amp;"*")</f>
        <v/>
      </c>
      <c r="E36" s="31">
        <f>IF(D36&gt;0,"Covered","GAP")</f>
        <v/>
      </c>
    </row>
    <row r="37" ht="15" customHeight="1" s="23">
      <c r="A37" s="32" t="inlineStr">
        <is>
          <t>RIDER-V03</t>
        </is>
      </c>
      <c r="B37" s="32" t="inlineStr">
        <is>
          <t>Age-ineligible rider cannot be added</t>
        </is>
      </c>
      <c r="C37" s="32" t="inlineStr">
        <is>
          <t>TC-RID-03</t>
        </is>
      </c>
      <c r="D37" s="31">
        <f>COUNTIF('Test Cases'!$E$2:$E$174,"*"&amp;A37&amp;"*")</f>
        <v/>
      </c>
      <c r="E37" s="31">
        <f>IF(D37&gt;0,"Covered","GAP")</f>
        <v/>
      </c>
    </row>
    <row r="38" ht="15" customHeight="1" s="23">
      <c r="A38" s="32" t="inlineStr">
        <is>
          <t>RIDER-V04</t>
        </is>
      </c>
      <c r="B38" s="32" t="inlineStr">
        <is>
          <t>Maximum rider count is enforced</t>
        </is>
      </c>
      <c r="C38" s="32" t="inlineStr">
        <is>
          <t>TC-RID-04</t>
        </is>
      </c>
      <c r="D38" s="31">
        <f>COUNTIF('Test Cases'!$E$2:$E$174,"*"&amp;A38&amp;"*")</f>
        <v/>
      </c>
      <c r="E38" s="31">
        <f>IF(D38&gt;0,"Covered","GAP")</f>
        <v/>
      </c>
    </row>
    <row r="39" ht="15" customHeight="1" s="23">
      <c r="A39" s="32" t="inlineStr">
        <is>
          <t>RIDER-V05</t>
        </is>
      </c>
      <c r="B39" s="32" t="inlineStr">
        <is>
          <t>Mutually exclusive waiver riders cannot both be selected</t>
        </is>
      </c>
      <c r="C39" s="32" t="inlineStr">
        <is>
          <t>TC-RID-05</t>
        </is>
      </c>
      <c r="D39" s="31">
        <f>COUNTIF('Test Cases'!$E$2:$E$174,"*"&amp;A39&amp;"*")</f>
        <v/>
      </c>
      <c r="E39" s="31">
        <f>IF(D39&gt;0,"Covered","GAP")</f>
        <v/>
      </c>
    </row>
    <row r="40" ht="15" customHeight="1" s="23">
      <c r="A40" s="32" t="inlineStr">
        <is>
          <t>RIDER-V06</t>
        </is>
      </c>
      <c r="B40" s="32" t="inlineStr">
        <is>
          <t>Critical illness rider triggers health questionnaire</t>
        </is>
      </c>
      <c r="C40" s="32" t="inlineStr">
        <is>
          <t>TC-RID-06</t>
        </is>
      </c>
      <c r="D40" s="31">
        <f>COUNTIF('Test Cases'!$E$2:$E$174,"*"&amp;A40&amp;"*")</f>
        <v/>
      </c>
      <c r="E40" s="31">
        <f>IF(D40&gt;0,"Covered","GAP")</f>
        <v/>
      </c>
    </row>
    <row r="41" ht="15" customHeight="1" s="23">
      <c r="A41" s="32" t="inlineStr">
        <is>
          <t>RIDER-V07</t>
        </is>
      </c>
      <c r="B41" s="32" t="inlineStr">
        <is>
          <t>Rider premium is itemized in total premium</t>
        </is>
      </c>
      <c r="C41" s="32" t="inlineStr">
        <is>
          <t>TC-RID-07</t>
        </is>
      </c>
      <c r="D41" s="31">
        <f>COUNTIF('Test Cases'!$E$2:$E$174,"*"&amp;A41&amp;"*")</f>
        <v/>
      </c>
      <c r="E41" s="31">
        <f>IF(D41&gt;0,"Covered","GAP")</f>
        <v/>
      </c>
    </row>
    <row r="42" ht="15" customHeight="1" s="23">
      <c r="A42" s="32" t="inlineStr">
        <is>
          <t>BEN-V01</t>
        </is>
      </c>
      <c r="B42" s="32" t="inlineStr">
        <is>
          <t>Add a valid primary beneficiary</t>
        </is>
      </c>
      <c r="C42" s="32" t="inlineStr">
        <is>
          <t>TC-BEN-01</t>
        </is>
      </c>
      <c r="D42" s="31">
        <f>COUNTIF('Test Cases'!$E$2:$E$174,"*"&amp;A42&amp;"*")</f>
        <v/>
      </c>
      <c r="E42" s="31">
        <f>IF(D42&gt;0,"Covered","GAP")</f>
        <v/>
      </c>
    </row>
    <row r="43" ht="15" customHeight="1" s="23">
      <c r="A43" s="32" t="inlineStr">
        <is>
          <t>BEN-V02</t>
        </is>
      </c>
      <c r="B43" s="32" t="inlineStr">
        <is>
          <t>Primary allocation below 100% blocks progression</t>
        </is>
      </c>
      <c r="C43" s="32" t="inlineStr">
        <is>
          <t>TC-BEN-02</t>
        </is>
      </c>
      <c r="D43" s="31">
        <f>COUNTIF('Test Cases'!$E$2:$E$174,"*"&amp;A43&amp;"*")</f>
        <v/>
      </c>
      <c r="E43" s="31">
        <f>IF(D43&gt;0,"Covered","GAP")</f>
        <v/>
      </c>
    </row>
    <row r="44" ht="15" customHeight="1" s="23">
      <c r="A44" s="32" t="inlineStr">
        <is>
          <t>BEN-V03</t>
        </is>
      </c>
      <c r="B44" s="32" t="inlineStr">
        <is>
          <t>Primary allocation above 100% blocks progression</t>
        </is>
      </c>
      <c r="C44" s="32" t="inlineStr">
        <is>
          <t>TC-BEN-03</t>
        </is>
      </c>
      <c r="D44" s="31">
        <f>COUNTIF('Test Cases'!$E$2:$E$174,"*"&amp;A44&amp;"*")</f>
        <v/>
      </c>
      <c r="E44" s="31">
        <f>IF(D44&gt;0,"Covered","GAP")</f>
        <v/>
      </c>
    </row>
    <row r="45" ht="15" customHeight="1" s="23">
      <c r="A45" s="32" t="inlineStr">
        <is>
          <t>BEN-V04</t>
        </is>
      </c>
      <c r="B45" s="32" t="inlineStr">
        <is>
          <t>Secondary allocation is validated separately</t>
        </is>
      </c>
      <c r="C45" s="32" t="inlineStr">
        <is>
          <t>TC-BEN-04</t>
        </is>
      </c>
      <c r="D45" s="31">
        <f>COUNTIF('Test Cases'!$E$2:$E$174,"*"&amp;A45&amp;"*")</f>
        <v/>
      </c>
      <c r="E45" s="31">
        <f>IF(D45&gt;0,"Covered","GAP")</f>
        <v/>
      </c>
    </row>
    <row r="46" ht="15" customHeight="1" s="23">
      <c r="A46" s="32" t="inlineStr">
        <is>
          <t>BEN-V05</t>
        </is>
      </c>
      <c r="B46" s="32" t="inlineStr">
        <is>
          <t>Minor beneficiary requires guardian details</t>
        </is>
      </c>
      <c r="C46" s="32" t="inlineStr">
        <is>
          <t>TC-BEN-05</t>
        </is>
      </c>
      <c r="D46" s="31">
        <f>COUNTIF('Test Cases'!$E$2:$E$174,"*"&amp;A46&amp;"*")</f>
        <v/>
      </c>
      <c r="E46" s="31">
        <f>IF(D46&gt;0,"Covered","GAP")</f>
        <v/>
      </c>
    </row>
    <row r="47" ht="15" customHeight="1" s="23">
      <c r="A47" s="32" t="inlineStr">
        <is>
          <t>BEN-V06</t>
        </is>
      </c>
      <c r="B47" s="32" t="inlineStr">
        <is>
          <t>Trust beneficiary shows trust-specific fields</t>
        </is>
      </c>
      <c r="C47" s="32" t="inlineStr">
        <is>
          <t>TC-BEN-06</t>
        </is>
      </c>
      <c r="D47" s="31">
        <f>COUNTIF('Test Cases'!$E$2:$E$174,"*"&amp;A47&amp;"*")</f>
        <v/>
      </c>
      <c r="E47" s="31">
        <f>IF(D47&gt;0,"Covered","GAP")</f>
        <v/>
      </c>
    </row>
    <row r="48" ht="15" customHeight="1" s="23">
      <c r="A48" s="32" t="inlineStr">
        <is>
          <t>BEN-V07</t>
        </is>
      </c>
      <c r="B48" s="32" t="inlineStr">
        <is>
          <t>Organization beneficiary shows organization-specific fields</t>
        </is>
      </c>
      <c r="C48" s="32" t="inlineStr">
        <is>
          <t>TC-BEN-07</t>
        </is>
      </c>
      <c r="D48" s="31">
        <f>COUNTIF('Test Cases'!$E$2:$E$174,"*"&amp;A48&amp;"*")</f>
        <v/>
      </c>
      <c r="E48" s="31">
        <f>IF(D48&gt;0,"Covered","GAP")</f>
        <v/>
      </c>
    </row>
    <row r="49" ht="15" customHeight="1" s="23">
      <c r="A49" s="32" t="inlineStr">
        <is>
          <t>BEN-V08</t>
        </is>
      </c>
      <c r="B49" s="32" t="inlineStr">
        <is>
          <t>Duplicate beneficiary is blocked</t>
        </is>
      </c>
      <c r="C49" s="32" t="inlineStr">
        <is>
          <t>TC-BEN-08</t>
        </is>
      </c>
      <c r="D49" s="31">
        <f>COUNTIF('Test Cases'!$E$2:$E$174,"*"&amp;A49&amp;"*")</f>
        <v/>
      </c>
      <c r="E49" s="31">
        <f>IF(D49&gt;0,"Covered","GAP")</f>
        <v/>
      </c>
    </row>
    <row r="50" ht="15" customHeight="1" s="23">
      <c r="A50" s="32" t="inlineStr">
        <is>
          <t>BEN-V09</t>
        </is>
      </c>
      <c r="B50" s="32" t="inlineStr">
        <is>
          <t>Removing beneficiary updates allocation total</t>
        </is>
      </c>
      <c r="C50" s="32" t="inlineStr">
        <is>
          <t>TC-BEN-09</t>
        </is>
      </c>
      <c r="D50" s="31">
        <f>COUNTIF('Test Cases'!$E$2:$E$174,"*"&amp;A50&amp;"*")</f>
        <v/>
      </c>
      <c r="E50" s="31">
        <f>IF(D50&gt;0,"Covered","GAP")</f>
        <v/>
      </c>
    </row>
    <row r="51" ht="15" customHeight="1" s="23">
      <c r="A51" s="32" t="inlineStr">
        <is>
          <t>DOC-V01</t>
        </is>
      </c>
      <c r="B51" s="32" t="inlineStr">
        <is>
          <t>Valid KYC document can be uploaded</t>
        </is>
      </c>
      <c r="C51" s="32" t="inlineStr">
        <is>
          <t>TC-DOC-01</t>
        </is>
      </c>
      <c r="D51" s="31">
        <f>COUNTIF('Test Cases'!$E$2:$E$174,"*"&amp;A51&amp;"*")</f>
        <v/>
      </c>
      <c r="E51" s="31">
        <f>IF(D51&gt;0,"Covered","GAP")</f>
        <v/>
      </c>
    </row>
    <row r="52" ht="15" customHeight="1" s="23">
      <c r="A52" s="32" t="inlineStr">
        <is>
          <t>DOC-V02</t>
        </is>
      </c>
      <c r="B52" s="32" t="inlineStr">
        <is>
          <t>Unsupported file type is rejected</t>
        </is>
      </c>
      <c r="C52" s="32" t="inlineStr">
        <is>
          <t>TC-DOC-02</t>
        </is>
      </c>
      <c r="D52" s="31">
        <f>COUNTIF('Test Cases'!$E$2:$E$174,"*"&amp;A52&amp;"*")</f>
        <v/>
      </c>
      <c r="E52" s="31">
        <f>IF(D52&gt;0,"Covered","GAP")</f>
        <v/>
      </c>
    </row>
    <row r="53" ht="15" customHeight="1" s="23">
      <c r="A53" s="32" t="inlineStr">
        <is>
          <t>DOC-V03</t>
        </is>
      </c>
      <c r="B53" s="32" t="inlineStr">
        <is>
          <t>File above maximum size is rejected</t>
        </is>
      </c>
      <c r="C53" s="32" t="inlineStr">
        <is>
          <t>TC-DOC-03</t>
        </is>
      </c>
      <c r="D53" s="31">
        <f>COUNTIF('Test Cases'!$E$2:$E$174,"*"&amp;A53&amp;"*")</f>
        <v/>
      </c>
      <c r="E53" s="31">
        <f>IF(D53&gt;0,"Covered","GAP")</f>
        <v/>
      </c>
    </row>
    <row r="54" ht="15" customHeight="1" s="23">
      <c r="A54" s="32" t="inlineStr">
        <is>
          <t>DOC-V04</t>
        </is>
      </c>
      <c r="B54" s="32" t="inlineStr">
        <is>
          <t>Missing mandatory document blocks submission</t>
        </is>
      </c>
      <c r="C54" s="32" t="inlineStr">
        <is>
          <t>TC-DOC-04</t>
        </is>
      </c>
      <c r="D54" s="31">
        <f>COUNTIF('Test Cases'!$E$2:$E$174,"*"&amp;A54&amp;"*")</f>
        <v/>
      </c>
      <c r="E54" s="31">
        <f>IF(D54&gt;0,"Covered","GAP")</f>
        <v/>
      </c>
    </row>
    <row r="55" ht="15" customHeight="1" s="23">
      <c r="A55" s="32" t="inlineStr">
        <is>
          <t>VAL-V01</t>
        </is>
      </c>
      <c r="B55" s="32" t="inlineStr">
        <is>
          <t>Validation summary lists all unresolved errors</t>
        </is>
      </c>
      <c r="C55" s="32" t="inlineStr">
        <is>
          <t>TC-VAL-01</t>
        </is>
      </c>
      <c r="D55" s="31">
        <f>COUNTIF('Test Cases'!$E$2:$E$174,"*"&amp;A55&amp;"*")</f>
        <v/>
      </c>
      <c r="E55" s="31">
        <f>IF(D55&gt;0,"Covered","GAP")</f>
        <v/>
      </c>
    </row>
    <row r="56" ht="15" customHeight="1" s="23">
      <c r="A56" s="32" t="inlineStr">
        <is>
          <t>VAL-V02</t>
        </is>
      </c>
      <c r="B56" s="32" t="inlineStr">
        <is>
          <t>Clicking validation error navigates to field</t>
        </is>
      </c>
      <c r="C56" s="32" t="inlineStr">
        <is>
          <t>TC-VAL-02</t>
        </is>
      </c>
      <c r="D56" s="31">
        <f>COUNTIF('Test Cases'!$E$2:$E$174,"*"&amp;A56&amp;"*")</f>
        <v/>
      </c>
      <c r="E56" s="31">
        <f>IF(D56&gt;0,"Covered","GAP")</f>
        <v/>
      </c>
    </row>
    <row r="57" ht="15" customHeight="1" s="23">
      <c r="A57" s="32" t="inlineStr">
        <is>
          <t>VAL-V03</t>
        </is>
      </c>
      <c r="B57" s="32" t="inlineStr">
        <is>
          <t>Submit button remains disabled until critical errors are resolved</t>
        </is>
      </c>
      <c r="C57" s="32" t="inlineStr">
        <is>
          <t>TC-VAL-03</t>
        </is>
      </c>
      <c r="D57" s="31">
        <f>COUNTIF('Test Cases'!$E$2:$E$174,"*"&amp;A57&amp;"*")</f>
        <v/>
      </c>
      <c r="E57" s="31">
        <f>IF(D57&gt;0,"Covered","GAP")</f>
        <v/>
      </c>
    </row>
    <row r="58" ht="15" customHeight="1" s="23">
      <c r="A58" s="32" t="inlineStr">
        <is>
          <t>WF-V01</t>
        </is>
      </c>
      <c r="B58" s="32" t="inlineStr">
        <is>
          <t>Agent can save incomplete application as draft</t>
        </is>
      </c>
      <c r="C58" s="32" t="inlineStr">
        <is>
          <t>TC-WF-01</t>
        </is>
      </c>
      <c r="D58" s="31">
        <f>COUNTIF('Test Cases'!$E$2:$E$174,"*"&amp;A58&amp;"*")</f>
        <v/>
      </c>
      <c r="E58" s="31">
        <f>IF(D58&gt;0,"Covered","GAP")</f>
        <v/>
      </c>
    </row>
    <row r="59" ht="15" customHeight="1" s="23">
      <c r="A59" s="32" t="inlineStr">
        <is>
          <t>WF-V02</t>
        </is>
      </c>
      <c r="B59" s="32" t="inlineStr">
        <is>
          <t>Draft application can be resumed with saved data</t>
        </is>
      </c>
      <c r="C59" s="32" t="inlineStr">
        <is>
          <t>TC-WF-02</t>
        </is>
      </c>
      <c r="D59" s="31">
        <f>COUNTIF('Test Cases'!$E$2:$E$174,"*"&amp;A59&amp;"*")</f>
        <v/>
      </c>
      <c r="E59" s="31">
        <f>IF(D59&gt;0,"Covered","GAP")</f>
        <v/>
      </c>
    </row>
    <row r="60" ht="15" customHeight="1" s="23">
      <c r="A60" s="32" t="inlineStr">
        <is>
          <t>WF-V03</t>
        </is>
      </c>
      <c r="B60" s="32" t="inlineStr">
        <is>
          <t>Valid application can be submitted successfully</t>
        </is>
      </c>
      <c r="C60" s="32" t="inlineStr">
        <is>
          <t>TC-WF-03</t>
        </is>
      </c>
      <c r="D60" s="31">
        <f>COUNTIF('Test Cases'!$E$2:$E$174,"*"&amp;A60&amp;"*")</f>
        <v/>
      </c>
      <c r="E60" s="31">
        <f>IF(D60&gt;0,"Covered","GAP")</f>
        <v/>
      </c>
    </row>
    <row r="61" ht="15" customHeight="1" s="23">
      <c r="A61" s="32" t="inlineStr">
        <is>
          <t>WF-V04</t>
        </is>
      </c>
      <c r="B61" s="32" t="inlineStr">
        <is>
          <t>Submitted application becomes read-only</t>
        </is>
      </c>
      <c r="C61" s="32" t="inlineStr">
        <is>
          <t>TC-WF-04</t>
        </is>
      </c>
      <c r="D61" s="31">
        <f>COUNTIF('Test Cases'!$E$2:$E$174,"*"&amp;A61&amp;"*")</f>
        <v/>
      </c>
      <c r="E61" s="31">
        <f>IF(D61&gt;0,"Covered","GAP")</f>
        <v/>
      </c>
    </row>
    <row r="62" ht="15" customHeight="1" s="23">
      <c r="A62" s="32" t="inlineStr">
        <is>
          <t>WF-V05</t>
        </is>
      </c>
      <c r="B62" s="32" t="inlineStr">
        <is>
          <t>Confirmation email simulation/status message appears after submission</t>
        </is>
      </c>
      <c r="C62" s="32" t="inlineStr">
        <is>
          <t>TC-WF-05</t>
        </is>
      </c>
      <c r="D62" s="31">
        <f>COUNTIF('Test Cases'!$E$2:$E$174,"*"&amp;A62&amp;"*")</f>
        <v/>
      </c>
      <c r="E62" s="31">
        <f>IF(D62&gt;0,"Covered","GAP")</f>
        <v/>
      </c>
    </row>
    <row r="63" ht="15" customHeight="1" s="23">
      <c r="A63" s="32" t="inlineStr">
        <is>
          <t>WF-V06</t>
        </is>
      </c>
      <c r="B63" s="32" t="inlineStr">
        <is>
          <t>Dashboard status updates after submission</t>
        </is>
      </c>
      <c r="C63" s="32" t="inlineStr">
        <is>
          <t>TC-WF-06</t>
        </is>
      </c>
      <c r="D63" s="31">
        <f>COUNTIF('Test Cases'!$E$2:$E$174,"*"&amp;A63&amp;"*")</f>
        <v/>
      </c>
      <c r="E63" s="31">
        <f>IF(D63&gt;0,"Covered","GAP")</f>
        <v/>
      </c>
    </row>
    <row r="64" ht="15" customHeight="1" s="23">
      <c r="A64" s="32" t="inlineStr">
        <is>
          <t>WF-V07</t>
        </is>
      </c>
      <c r="B64" s="32" t="inlineStr">
        <is>
          <t>Application detail status matches API response</t>
        </is>
      </c>
      <c r="C64" s="32" t="inlineStr">
        <is>
          <t>TC-WF-07</t>
        </is>
      </c>
      <c r="D64" s="31">
        <f>COUNTIF('Test Cases'!$E$2:$E$174,"*"&amp;A64&amp;"*")</f>
        <v/>
      </c>
      <c r="E64" s="31">
        <f>IF(D64&gt;0,"Covered","GAP")</f>
        <v/>
      </c>
    </row>
    <row r="65" ht="15" customHeight="1" s="23">
      <c r="A65" s="32" t="inlineStr">
        <is>
          <t>API-V01</t>
        </is>
      </c>
      <c r="B65" s="32" t="inlineStr">
        <is>
          <t>Products API returns 200 and expected schema</t>
        </is>
      </c>
      <c r="C65" s="32" t="inlineStr">
        <is>
          <t>TC-API-01</t>
        </is>
      </c>
      <c r="D65" s="31">
        <f>COUNTIF('Test Cases'!$E$2:$E$174,"*"&amp;A65&amp;"*")</f>
        <v/>
      </c>
      <c r="E65" s="31">
        <f>IF(D65&gt;0,"Covered","GAP")</f>
        <v/>
      </c>
    </row>
    <row r="66" ht="15" customHeight="1" s="23">
      <c r="A66" s="32" t="inlineStr">
        <is>
          <t>API-V02</t>
        </is>
      </c>
      <c r="B66" s="32" t="inlineStr">
        <is>
          <t>Application API requires authorization</t>
        </is>
      </c>
      <c r="C66" s="32" t="inlineStr">
        <is>
          <t>TC-API-02</t>
        </is>
      </c>
      <c r="D66" s="31">
        <f>COUNTIF('Test Cases'!$E$2:$E$174,"*"&amp;A66&amp;"*")</f>
        <v/>
      </c>
      <c r="E66" s="31">
        <f>IF(D66&gt;0,"Covered","GAP")</f>
        <v/>
      </c>
    </row>
    <row r="67" ht="15" customHeight="1" s="23">
      <c r="A67" s="32" t="inlineStr">
        <is>
          <t>API-V03</t>
        </is>
      </c>
      <c r="B67" s="32" t="inlineStr">
        <is>
          <t>Client API rejects invalid DOB</t>
        </is>
      </c>
      <c r="C67" s="32" t="inlineStr">
        <is>
          <t>TC-API-03</t>
        </is>
      </c>
      <c r="D67" s="31">
        <f>COUNTIF('Test Cases'!$E$2:$E$174,"*"&amp;A67&amp;"*")</f>
        <v/>
      </c>
      <c r="E67" s="31">
        <f>IF(D67&gt;0,"Covered","GAP")</f>
        <v/>
      </c>
    </row>
    <row r="68" ht="15" customHeight="1" s="23">
      <c r="A68" s="32" t="inlineStr">
        <is>
          <t>API-V04</t>
        </is>
      </c>
      <c r="B68" s="32" t="inlineStr">
        <is>
          <t>Validation API returns beneficiary allocation error</t>
        </is>
      </c>
      <c r="C68" s="32" t="inlineStr">
        <is>
          <t>TC-API-04</t>
        </is>
      </c>
      <c r="D68" s="31">
        <f>COUNTIF('Test Cases'!$E$2:$E$174,"*"&amp;A68&amp;"*")</f>
        <v/>
      </c>
      <c r="E68" s="31">
        <f>IF(D68&gt;0,"Covered","GAP")</f>
        <v/>
      </c>
    </row>
    <row r="69" ht="15" customHeight="1" s="23">
      <c r="A69" s="32" t="inlineStr">
        <is>
          <t>API-V05</t>
        </is>
      </c>
      <c r="B69" s="32" t="inlineStr">
        <is>
          <t>Submission API rejects incomplete application</t>
        </is>
      </c>
      <c r="C69" s="32" t="inlineStr">
        <is>
          <t>TC-API-05</t>
        </is>
      </c>
      <c r="D69" s="31">
        <f>COUNTIF('Test Cases'!$E$2:$E$174,"*"&amp;A69&amp;"*")</f>
        <v/>
      </c>
      <c r="E69" s="31">
        <f>IF(D69&gt;0,"Covered","GAP")</f>
        <v/>
      </c>
    </row>
    <row r="70" ht="15" customHeight="1" s="23">
      <c r="A70" s="32" t="inlineStr">
        <is>
          <t>API-V06</t>
        </is>
      </c>
      <c r="B70" s="32" t="inlineStr">
        <is>
          <t>Application status API matches dashboard</t>
        </is>
      </c>
      <c r="C70" s="32" t="inlineStr">
        <is>
          <t>TC-API-06</t>
        </is>
      </c>
      <c r="D70" s="31">
        <f>COUNTIF('Test Cases'!$E$2:$E$174,"*"&amp;A70&amp;"*")</f>
        <v/>
      </c>
      <c r="E70" s="31">
        <f>IF(D70&gt;0,"Covered","GAP")</f>
        <v/>
      </c>
    </row>
    <row r="71" ht="15" customHeight="1" s="23">
      <c r="A71" s="32" t="inlineStr">
        <is>
          <t>API-V07</t>
        </is>
      </c>
      <c r="B71" s="32" t="inlineStr">
        <is>
          <t>Product API supports product detail retrieval</t>
        </is>
      </c>
      <c r="C71" s="32" t="inlineStr">
        <is>
          <t>TC-API-07</t>
        </is>
      </c>
      <c r="D71" s="31">
        <f>COUNTIF('Test Cases'!$E$2:$E$174,"*"&amp;A71&amp;"*")</f>
        <v/>
      </c>
      <c r="E71" s="31">
        <f>IF(D71&gt;0,"Covered","GAP")</f>
        <v/>
      </c>
    </row>
    <row r="72" ht="15" customHeight="1" s="23">
      <c r="A72" s="32" t="inlineStr">
        <is>
          <t>API-V08</t>
        </is>
      </c>
      <c r="B72" s="32" t="inlineStr">
        <is>
          <t>Applications API returns only logged-in agent records</t>
        </is>
      </c>
      <c r="C72" s="32" t="inlineStr">
        <is>
          <t>TC-API-08</t>
        </is>
      </c>
      <c r="D72" s="31">
        <f>COUNTIF('Test Cases'!$E$2:$E$174,"*"&amp;A72&amp;"*")</f>
        <v/>
      </c>
      <c r="E72" s="31">
        <f>IF(D72&gt;0,"Covered","GAP")</f>
        <v/>
      </c>
    </row>
    <row r="74" ht="15" customHeight="1" s="23">
      <c r="B74" s="25" t="inlineStr">
        <is>
          <t>Validation IDs without a test case:</t>
        </is>
      </c>
      <c r="D74" s="25">
        <f>COUNTIF(E4:E72,"GAP")</f>
        <v/>
      </c>
    </row>
  </sheetData>
  <autoFilter ref="A3:E72"/>
  <conditionalFormatting sqref="E4:E72">
    <cfRule type="cellIs" rank="0" priority="2" equalAverage="0" operator="equal" aboveAverage="0" dxfId="12" text="" percent="0" bottom="0">
      <formula>"GAP"</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1F3864"/>
    <outlinePr summaryBelow="1" summaryRight="1"/>
    <pageSetUpPr fitToPage="0"/>
  </sheetPr>
  <dimension ref="A1:D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2" min="1" max="1"/>
    <col width="22" customWidth="1" style="22" min="2" max="2"/>
    <col width="46" customWidth="1" style="22" min="3" max="3"/>
    <col width="22" customWidth="1" style="22" min="4" max="4"/>
  </cols>
  <sheetData>
    <row r="1" ht="17.35" customHeight="1" s="23">
      <c r="A1" s="24" t="inlineStr">
        <is>
          <t>Controlled Test Data (generated per run; never hard-code in specs)</t>
        </is>
      </c>
    </row>
    <row r="2" ht="15" customHeight="1" s="23">
      <c r="A2" s="28" t="inlineStr">
        <is>
          <t>Boundary DOBs are formulas relative to today so the sheet always shows the dates for the day you read it. dataGenerator.ts must compute the same values at run time.</t>
        </is>
      </c>
    </row>
    <row r="4" ht="15" customHeight="1" s="23">
      <c r="A4" s="30" t="inlineStr">
        <is>
          <t>Dataset</t>
        </is>
      </c>
      <c r="B4" s="30" t="inlineStr">
        <is>
          <t>Date of Birth (calculated)</t>
        </is>
      </c>
      <c r="C4" s="30" t="inlineStr">
        <is>
          <t>Expected Outcome</t>
        </is>
      </c>
      <c r="D4" s="30" t="inlineStr">
        <is>
          <t>Used By</t>
        </is>
      </c>
    </row>
    <row r="5" ht="23.85" customHeight="1" s="23">
      <c r="A5" s="32" t="inlineStr">
        <is>
          <t>Underage - 17 years 364 days</t>
        </is>
      </c>
      <c r="B5" s="40">
        <f>EDATE(TODAY(),-216)+1</f>
        <v/>
      </c>
      <c r="C5" s="32" t="inlineStr">
        <is>
          <t>Rejected (below 18)</t>
        </is>
      </c>
      <c r="D5" s="32" t="inlineStr">
        <is>
          <t>TC-CLI-03, TC-API-03, TC-BEN-05 (as minor)</t>
        </is>
      </c>
    </row>
    <row r="6" ht="15" customHeight="1" s="23">
      <c r="A6" s="32" t="inlineStr">
        <is>
          <t>Exactly 18 years</t>
        </is>
      </c>
      <c r="B6" s="40">
        <f>EDATE(TODAY(),-216)</f>
        <v/>
      </c>
      <c r="C6" s="32" t="inlineStr">
        <is>
          <t>Accepted (confirm inclusive)</t>
        </is>
      </c>
      <c r="D6" s="32" t="inlineStr">
        <is>
          <t>TC-CLI-06</t>
        </is>
      </c>
    </row>
    <row r="7" ht="15" customHeight="1" s="23">
      <c r="A7" s="32" t="inlineStr">
        <is>
          <t>Typical adult - 40 years</t>
        </is>
      </c>
      <c r="B7" s="40">
        <f>EDATE(TODAY(),-480)</f>
        <v/>
      </c>
      <c r="C7" s="32" t="inlineStr">
        <is>
          <t>Accepted</t>
        </is>
      </c>
      <c r="D7" s="32" t="inlineStr">
        <is>
          <t>TC-CLI-01, TC-WF-03</t>
        </is>
      </c>
    </row>
    <row r="8" ht="15" customHeight="1" s="23">
      <c r="A8" s="32" t="inlineStr">
        <is>
          <t>Exactly 65 years</t>
        </is>
      </c>
      <c r="B8" s="40">
        <f>EDATE(TODAY(),-780)</f>
        <v/>
      </c>
      <c r="C8" s="32" t="inlineStr">
        <is>
          <t>Accepted (confirm inclusive)</t>
        </is>
      </c>
      <c r="D8" s="32" t="inlineStr">
        <is>
          <t>TC-CLI-06</t>
        </is>
      </c>
    </row>
    <row r="9" ht="15" customHeight="1" s="23">
      <c r="A9" s="32" t="inlineStr">
        <is>
          <t>Over 65 - 65 years + 1 day</t>
        </is>
      </c>
      <c r="B9" s="40">
        <f>EDATE(TODAY(),-780)-1</f>
        <v/>
      </c>
      <c r="C9" s="32" t="inlineStr">
        <is>
          <t>Rejected (above 65)</t>
        </is>
      </c>
      <c r="D9" s="32" t="inlineStr">
        <is>
          <t>TC-CLI-04</t>
        </is>
      </c>
    </row>
    <row r="10" ht="15" customHeight="1" s="23">
      <c r="A10" s="32" t="inlineStr">
        <is>
          <t>Future date - tomorrow</t>
        </is>
      </c>
      <c r="B10" s="40">
        <f>TODAY()+1</f>
        <v/>
      </c>
      <c r="C10" s="32" t="inlineStr">
        <is>
          <t>Rejected</t>
        </is>
      </c>
      <c r="D10" s="32" t="inlineStr">
        <is>
          <t>TC-CLI-05, TC-API-03</t>
        </is>
      </c>
    </row>
    <row r="12" ht="15" customHeight="1" s="23">
      <c r="A12" s="25" t="inlineStr">
        <is>
          <t>Allocation datasets</t>
        </is>
      </c>
    </row>
    <row r="13" ht="15" customHeight="1" s="23">
      <c r="A13" s="30" t="inlineStr">
        <is>
          <t>Scenario</t>
        </is>
      </c>
      <c r="B13" s="30" t="inlineStr">
        <is>
          <t>Primary %</t>
        </is>
      </c>
      <c r="C13" s="30" t="inlineStr">
        <is>
          <t>Secondary %</t>
        </is>
      </c>
      <c r="D13" s="30" t="inlineStr">
        <is>
          <t>Expected</t>
        </is>
      </c>
    </row>
    <row r="14" ht="15" customHeight="1" s="23">
      <c r="A14" s="32" t="inlineStr">
        <is>
          <t>Exact</t>
        </is>
      </c>
      <c r="B14" s="32" t="inlineStr">
        <is>
          <t>100</t>
        </is>
      </c>
      <c r="C14" s="32" t="inlineStr">
        <is>
          <t>100</t>
        </is>
      </c>
      <c r="D14" s="32" t="inlineStr">
        <is>
          <t>Accepted</t>
        </is>
      </c>
    </row>
    <row r="15" ht="15" customHeight="1" s="23">
      <c r="A15" s="32" t="inlineStr">
        <is>
          <t>Under</t>
        </is>
      </c>
      <c r="B15" s="32" t="inlineStr">
        <is>
          <t>99</t>
        </is>
      </c>
      <c r="C15" s="32" t="inlineStr">
        <is>
          <t>-</t>
        </is>
      </c>
      <c r="D15" s="32" t="inlineStr">
        <is>
          <t>Blocked</t>
        </is>
      </c>
    </row>
    <row r="16" ht="15" customHeight="1" s="23">
      <c r="A16" s="32" t="inlineStr">
        <is>
          <t>Over</t>
        </is>
      </c>
      <c r="B16" s="32" t="inlineStr">
        <is>
          <t>101</t>
        </is>
      </c>
      <c r="C16" s="32" t="inlineStr">
        <is>
          <t>-</t>
        </is>
      </c>
      <c r="D16" s="32" t="inlineStr">
        <is>
          <t>Blocked</t>
        </is>
      </c>
    </row>
    <row r="17" ht="23.85" customHeight="1" s="23">
      <c r="A17" s="32" t="inlineStr">
        <is>
          <t>Split 60/40</t>
        </is>
      </c>
      <c r="B17" s="32" t="inlineStr">
        <is>
          <t>60 + 40</t>
        </is>
      </c>
      <c r="C17" s="32" t="inlineStr">
        <is>
          <t>-</t>
        </is>
      </c>
      <c r="D17" s="32" t="inlineStr">
        <is>
          <t>Accepted; removing 40 leaves 60 -&gt; error</t>
        </is>
      </c>
    </row>
    <row r="18" ht="15" customHeight="1" s="23">
      <c r="A18" s="32" t="inlineStr">
        <is>
          <t>Secondary short</t>
        </is>
      </c>
      <c r="B18" s="32" t="inlineStr">
        <is>
          <t>100</t>
        </is>
      </c>
      <c r="C18" s="32" t="inlineStr">
        <is>
          <t>90</t>
        </is>
      </c>
      <c r="D18" s="32" t="inlineStr">
        <is>
          <t>Blocked (secondary total)</t>
        </is>
      </c>
    </row>
    <row r="21" ht="15" customHeight="1" s="23">
      <c r="A21" s="25" t="inlineStr">
        <is>
          <t>Upload files (fixtures/files)</t>
        </is>
      </c>
    </row>
    <row r="22" ht="15" customHeight="1" s="23">
      <c r="A22" s="30" t="inlineStr">
        <is>
          <t>File</t>
        </is>
      </c>
      <c r="B22" s="30" t="inlineStr">
        <is>
          <t>Type / Size</t>
        </is>
      </c>
      <c r="C22" s="30" t="inlineStr">
        <is>
          <t>Expected</t>
        </is>
      </c>
      <c r="D22" s="30" t="inlineStr">
        <is>
          <t>Used By</t>
        </is>
      </c>
    </row>
    <row r="23" ht="15" customHeight="1" s="23">
      <c r="A23" s="32" t="inlineStr">
        <is>
          <t>valid.pdf</t>
        </is>
      </c>
      <c r="B23" s="32" t="inlineStr">
        <is>
          <t>PDF, ~50 KB</t>
        </is>
      </c>
      <c r="C23" s="32" t="inlineStr">
        <is>
          <t>Accepted</t>
        </is>
      </c>
      <c r="D23" s="32" t="inlineStr">
        <is>
          <t>TC-DOC-01</t>
        </is>
      </c>
    </row>
    <row r="24" ht="15" customHeight="1" s="23">
      <c r="A24" s="32" t="inlineStr">
        <is>
          <t>valid.jpg</t>
        </is>
      </c>
      <c r="B24" s="32" t="inlineStr">
        <is>
          <t>JPG, ~50 KB</t>
        </is>
      </c>
      <c r="C24" s="32" t="inlineStr">
        <is>
          <t>Accepted</t>
        </is>
      </c>
      <c r="D24" s="32" t="inlineStr">
        <is>
          <t>TC-DOC-01</t>
        </is>
      </c>
    </row>
    <row r="25" ht="15" customHeight="1" s="23">
      <c r="A25" s="32" t="inlineStr">
        <is>
          <t>valid.png</t>
        </is>
      </c>
      <c r="B25" s="32" t="inlineStr">
        <is>
          <t>PNG, ~50 KB</t>
        </is>
      </c>
      <c r="C25" s="32" t="inlineStr">
        <is>
          <t>Accepted</t>
        </is>
      </c>
      <c r="D25" s="32" t="inlineStr">
        <is>
          <t>TC-DOC-01</t>
        </is>
      </c>
    </row>
    <row r="26" ht="15" customHeight="1" s="23">
      <c r="A26" s="32" t="inlineStr">
        <is>
          <t>invalid.exe</t>
        </is>
      </c>
      <c r="B26" s="32" t="inlineStr">
        <is>
          <t>EXE (renamed dummy)</t>
        </is>
      </c>
      <c r="C26" s="32" t="inlineStr">
        <is>
          <t>Rejected - type</t>
        </is>
      </c>
      <c r="D26" s="32" t="inlineStr">
        <is>
          <t>TC-KYC-03, TC-DOC-02</t>
        </is>
      </c>
    </row>
    <row r="27" ht="15" customHeight="1" s="23">
      <c r="A27" s="32" t="inlineStr">
        <is>
          <t>invalid.txt</t>
        </is>
      </c>
      <c r="B27" s="32" t="inlineStr">
        <is>
          <t>TXT</t>
        </is>
      </c>
      <c r="C27" s="32" t="inlineStr">
        <is>
          <t>Rejected - type</t>
        </is>
      </c>
      <c r="D27" s="32" t="inlineStr">
        <is>
          <t>TC-KYC-03, TC-DOC-02</t>
        </is>
      </c>
    </row>
    <row r="28" ht="23.85" customHeight="1" s="23">
      <c r="A28" s="32" t="inlineStr">
        <is>
          <t>under-limit.pdf</t>
        </is>
      </c>
      <c r="B28" s="32" t="inlineStr">
        <is>
          <t>max size - 1 byte (CONFIRM max)</t>
        </is>
      </c>
      <c r="C28" s="32" t="inlineStr">
        <is>
          <t>Accepted</t>
        </is>
      </c>
      <c r="D28" s="32" t="inlineStr">
        <is>
          <t>TC-DOC-03</t>
        </is>
      </c>
    </row>
    <row r="29" ht="23.85" customHeight="1" s="23">
      <c r="A29" s="32" t="inlineStr">
        <is>
          <t>over-limit.pdf</t>
        </is>
      </c>
      <c r="B29" s="32" t="inlineStr">
        <is>
          <t>max size + 1 byte (CONFIRM max)</t>
        </is>
      </c>
      <c r="C29" s="32" t="inlineStr">
        <is>
          <t>Rejected - size</t>
        </is>
      </c>
      <c r="D29" s="32" t="inlineStr">
        <is>
          <t>TC-DOC-03</t>
        </is>
      </c>
    </row>
    <row r="32" ht="15" customHeight="1" s="23">
      <c r="A32" s="25" t="inlineStr">
        <is>
          <t>Environment variables (.env.example placeholders - no real values)</t>
        </is>
      </c>
    </row>
    <row r="33" ht="15" customHeight="1" s="23">
      <c r="A33" s="30" t="inlineStr">
        <is>
          <t>Variable</t>
        </is>
      </c>
      <c r="B33" s="30" t="inlineStr">
        <is>
          <t>Purpose</t>
        </is>
      </c>
      <c r="C33" s="30" t="inlineStr">
        <is>
          <t>Placeholder</t>
        </is>
      </c>
      <c r="D33" s="30" t="n"/>
    </row>
    <row r="34" ht="15" customHeight="1" s="23">
      <c r="A34" s="32" t="inlineStr">
        <is>
          <t>BASE_URL</t>
        </is>
      </c>
      <c r="B34" s="32" t="inlineStr">
        <is>
          <t>App base URL</t>
        </is>
      </c>
      <c r="C34" s="32" t="inlineStr">
        <is>
          <t>http://127.0.0.1:8081</t>
        </is>
      </c>
    </row>
    <row r="35" ht="15" customHeight="1" s="23">
      <c r="A35" s="32" t="inlineStr">
        <is>
          <t>APP_NAME</t>
        </is>
      </c>
      <c r="B35" s="32" t="inlineStr">
        <is>
          <t>insurance or finserve</t>
        </is>
      </c>
      <c r="C35" s="32" t="inlineStr">
        <is>
          <t>insurance</t>
        </is>
      </c>
    </row>
    <row r="36" ht="15" customHeight="1" s="23">
      <c r="A36" s="32" t="inlineStr">
        <is>
          <t>VALID_AGENT_USER / _PASS</t>
        </is>
      </c>
      <c r="B36" s="32" t="inlineStr">
        <is>
          <t>Happy path agent</t>
        </is>
      </c>
      <c r="C36" s="32" t="inlineStr">
        <is>
          <t>&lt;from seed data doc&gt;</t>
        </is>
      </c>
    </row>
    <row r="37" ht="15" customHeight="1" s="23">
      <c r="A37" s="32" t="inlineStr">
        <is>
          <t>SECOND_AGENT_USER / _PASS</t>
        </is>
      </c>
      <c r="B37" s="32" t="inlineStr">
        <is>
          <t>Data isolation</t>
        </is>
      </c>
      <c r="C37" s="32" t="inlineStr">
        <is>
          <t>&lt;from seed data doc&gt;</t>
        </is>
      </c>
    </row>
    <row r="38" ht="15" customHeight="1" s="23">
      <c r="A38" s="32" t="inlineStr">
        <is>
          <t>NEW_AGENT_USER / _PASS</t>
        </is>
      </c>
      <c r="B38" s="32" t="inlineStr">
        <is>
          <t>Empty dashboard</t>
        </is>
      </c>
      <c r="C38" s="32" t="inlineStr">
        <is>
          <t>&lt;from seed data doc&gt;</t>
        </is>
      </c>
    </row>
    <row r="39" ht="15" customHeight="1" s="23">
      <c r="A39" s="32" t="inlineStr">
        <is>
          <t>LOCKED_AGENT_USER / _PASS</t>
        </is>
      </c>
      <c r="B39" s="32" t="inlineStr">
        <is>
          <t>Locked message</t>
        </is>
      </c>
      <c r="C39" s="32" t="inlineStr">
        <is>
          <t>&lt;from seed data doc&gt;</t>
        </is>
      </c>
    </row>
    <row r="40" ht="23.85" customHeight="1" s="23">
      <c r="A40" s="32" t="inlineStr">
        <is>
          <t>LOCKOUT_TEST_AGENT_USER / _PASS</t>
        </is>
      </c>
      <c r="B40" s="32" t="inlineStr">
        <is>
          <t>Reserved for 5-attempt lock test</t>
        </is>
      </c>
      <c r="C40" s="32" t="inlineStr">
        <is>
          <t>&lt;from seed data doc&gt;</t>
        </is>
      </c>
    </row>
    <row r="41" ht="15" customHeight="1" s="23">
      <c r="A41" s="32" t="inlineStr">
        <is>
          <t>MFA_AGENT_USER / _PASS / MFA_OTP</t>
        </is>
      </c>
      <c r="B41" s="32" t="inlineStr">
        <is>
          <t>OTP login</t>
        </is>
      </c>
      <c r="C41" s="32" t="inlineStr">
        <is>
          <t>&lt;from seed data doc&gt;</t>
        </is>
      </c>
    </row>
    <row r="42" ht="15" customHeight="1" s="23">
      <c r="A42" s="32" t="inlineStr">
        <is>
          <t>API_BASE_URL</t>
        </is>
      </c>
      <c r="B42" s="32" t="inlineStr">
        <is>
          <t>API root</t>
        </is>
      </c>
      <c r="C42" s="32" t="inlineStr">
        <is>
          <t>${BASE_URL}/api</t>
        </is>
      </c>
    </row>
    <row r="43" ht="23.85" customHeight="1" s="23">
      <c r="A43" s="32" t="inlineStr">
        <is>
          <t>SEEDED_DRAFT_ID / SEEDED_SUBMITTED_ID</t>
        </is>
      </c>
      <c r="B43" s="32" t="inlineStr">
        <is>
          <t>Resume and read-only checks</t>
        </is>
      </c>
      <c r="C43" s="32" t="inlineStr">
        <is>
          <t>&lt;from seed data doc&gt;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1F3864"/>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48" customWidth="1" style="22" min="2" max="2"/>
    <col width="40" customWidth="1" style="22" min="3" max="3"/>
    <col width="30" customWidth="1" style="22" min="4" max="4"/>
    <col width="36" customWidth="1" style="22" min="5" max="5"/>
    <col width="12" customWidth="1" style="22" min="6" max="6"/>
  </cols>
  <sheetData>
    <row r="1" ht="17.35" customHeight="1" s="23">
      <c r="A1" s="24" t="inlineStr">
        <is>
          <t>Values to confirm from the running app / mentor before asserting exact results</t>
        </is>
      </c>
    </row>
    <row r="3" ht="15" customHeight="1" s="23">
      <c r="A3" s="30" t="inlineStr">
        <is>
          <t>#</t>
        </is>
      </c>
      <c r="B3" s="30" t="inlineStr">
        <is>
          <t>Item to confirm</t>
        </is>
      </c>
      <c r="C3" s="30" t="inlineStr">
        <is>
          <t>Why it matters</t>
        </is>
      </c>
      <c r="D3" s="30" t="inlineStr">
        <is>
          <t>Affected Test Cases</t>
        </is>
      </c>
      <c r="E3" s="30" t="inlineStr">
        <is>
          <t>Resolution (fill in)</t>
        </is>
      </c>
      <c r="F3" s="30" t="inlineStr">
        <is>
          <t>Status</t>
        </is>
      </c>
    </row>
    <row r="4" s="23">
      <c r="A4" s="31" t="n">
        <v>1</v>
      </c>
      <c r="B4" s="32" t="inlineStr">
        <is>
          <t>Insurance app port (8081 vs 8082) and base URL</t>
        </is>
      </c>
      <c r="C4" s="32" t="inlineStr">
        <is>
          <t>FinServe app also runs in the lab</t>
        </is>
      </c>
      <c r="D4" s="32" t="inlineStr">
        <is>
          <t>All</t>
        </is>
      </c>
      <c r="E4" s="41" t="inlineStr">
        <is>
          <t xml:space="preserve">Insurance app = http://127.0.0.1:8081 (BASE_URL in .env).</t>
        </is>
      </c>
      <c r="F4" s="31" t="inlineStr">
        <is>
          <t xml:space="preserve">Resolved</t>
        </is>
      </c>
    </row>
    <row r="5" s="23">
      <c r="A5" s="31" t="n">
        <v>2</v>
      </c>
      <c r="B5" s="32" t="inlineStr">
        <is>
          <t>Seed users, passwords, MFA OTP value, lockout reset method</t>
        </is>
      </c>
      <c r="C5" s="32" t="inlineStr">
        <is>
          <t>Auth and isolation tests</t>
        </is>
      </c>
      <c r="D5" s="32" t="inlineStr">
        <is>
          <t>TC-AUTH-*, TC-DASH-02/03, TC-API-08</t>
        </is>
      </c>
      <c r="E5" s="41" t="inlineStr">
        <is>
          <t xml:space="preserve">Seed users from UserSeeder (credentials in .env). Lockout auto-expires after 30 min. MFA OTP still not available (TC-AUTH-09 skipped).</t>
        </is>
      </c>
      <c r="F5" s="31" t="inlineStr">
        <is>
          <t xml:space="preserve">Resolved</t>
        </is>
      </c>
    </row>
    <row r="6" s="23">
      <c r="A6" s="31" t="n">
        <v>3</v>
      </c>
      <c r="B6" s="32" t="inlineStr">
        <is>
          <t>Are ages 18 and 65 inclusive? Timezone for age calculation?</t>
        </is>
      </c>
      <c r="C6" s="32" t="inlineStr">
        <is>
          <t>Boundary assertions</t>
        </is>
      </c>
      <c r="D6" s="32" t="inlineStr">
        <is>
          <t>TC-CLI-03/04/06</t>
        </is>
      </c>
      <c r="E6" s="41" t="inlineStr">
        <is>
          <t xml:space="preserve">18 and 65 are inclusive; the rule is applied in submission validation on Review (not on the Client step). Age calculation is off by one = seeded DEF-CLI-003.</t>
        </is>
      </c>
      <c r="F6" s="31" t="inlineStr">
        <is>
          <t xml:space="preserve">Resolved</t>
        </is>
      </c>
    </row>
    <row r="7" ht="15" customHeight="1" s="23">
      <c r="A7" s="31" t="n">
        <v>4</v>
      </c>
      <c r="B7" s="32" t="inlineStr">
        <is>
          <t>Password policy and failed-attempt/lock-reset rules</t>
        </is>
      </c>
      <c r="C7" s="32" t="inlineStr">
        <is>
          <t>Exact weak-password set</t>
        </is>
      </c>
      <c r="D7" s="32" t="inlineStr">
        <is>
          <t>TC-AUTH-07/08/11</t>
        </is>
      </c>
      <c r="E7" s="41" t="n"/>
      <c r="F7" s="31" t="inlineStr">
        <is>
          <t>Open</t>
        </is>
      </c>
    </row>
    <row r="8" ht="23.85" customHeight="1" s="23">
      <c r="A8" s="31" t="n">
        <v>5</v>
      </c>
      <c r="B8" s="32" t="inlineStr">
        <is>
          <t>Product face value min/max, payment and policy terms, active vs inactive products</t>
        </is>
      </c>
      <c r="C8" s="32" t="inlineStr">
        <is>
          <t>Boundary values</t>
        </is>
      </c>
      <c r="D8" s="32" t="inlineStr">
        <is>
          <t>TC-PROD-*</t>
        </is>
      </c>
      <c r="E8" s="41" t="n"/>
      <c r="F8" s="31" t="inlineStr">
        <is>
          <t>Open</t>
        </is>
      </c>
    </row>
    <row r="9" ht="15" customHeight="1" s="23">
      <c r="A9" s="31" t="n">
        <v>6</v>
      </c>
      <c r="B9" s="32" t="inlineStr">
        <is>
          <t>Premium formula/rounding or API field exposing premium</t>
        </is>
      </c>
      <c r="C9" s="32" t="inlineStr">
        <is>
          <t>Recalculation assertions</t>
        </is>
      </c>
      <c r="D9" s="32" t="inlineStr">
        <is>
          <t>TC-PROD-05/06, TC-RID-07</t>
        </is>
      </c>
      <c r="E9" s="41" t="n"/>
      <c r="F9" s="31" t="inlineStr">
        <is>
          <t>Open</t>
        </is>
      </c>
    </row>
    <row r="10" ht="23.85" customHeight="1" s="23">
      <c r="A10" s="31" t="n">
        <v>7</v>
      </c>
      <c r="B10" s="32" t="inlineStr">
        <is>
          <t>Rider age limits, max rider count, coverage caps, waiver pair</t>
        </is>
      </c>
      <c r="C10" s="32" t="inlineStr">
        <is>
          <t>Rider decision table</t>
        </is>
      </c>
      <c r="D10" s="32" t="inlineStr">
        <is>
          <t>TC-RID-*</t>
        </is>
      </c>
      <c r="E10" s="41" t="n"/>
      <c r="F10" s="31" t="inlineStr">
        <is>
          <t>Open</t>
        </is>
      </c>
    </row>
    <row r="11" s="23">
      <c r="A11" s="31" t="n">
        <v>8</v>
      </c>
      <c r="B11" s="32" t="inlineStr">
        <is>
          <t>ID types and number formats; SSN mask format</t>
        </is>
      </c>
      <c r="C11" s="32" t="inlineStr">
        <is>
          <t>KYC validation</t>
        </is>
      </c>
      <c r="D11" s="32" t="inlineStr">
        <is>
          <t>TC-KYC-01/02/07</t>
        </is>
      </c>
      <c r="E11" s="41" t="inlineStr">
        <is>
          <t xml:space="preserve">ID types SSN / STATE_ID / PASSPORT / DRIVERS_LICENSE; no per-type number format on the server (app gap). SSN is not masked = seeded DEF-CLI-002.</t>
        </is>
      </c>
      <c r="F11" s="31" t="inlineStr">
        <is>
          <t xml:space="preserve">Resolved</t>
        </is>
      </c>
    </row>
    <row r="12" s="23">
      <c r="A12" s="31" t="n">
        <v>9</v>
      </c>
      <c r="B12" s="32" t="inlineStr">
        <is>
          <t>Affordability rule (income vs premium)</t>
        </is>
      </c>
      <c r="C12" s="32" t="inlineStr">
        <is>
          <t>Warning vs block</t>
        </is>
      </c>
      <c r="D12" s="32" t="inlineStr">
        <is>
          <t>TC-KYC-05</t>
        </is>
      </c>
      <c r="E12" s="41" t="inlineStr">
        <is>
          <t xml:space="preserve">Affordability rule is skipped = seeded DEF-FIN-001 (TC-KYC-05, TC-PROD-07 fail by design).</t>
        </is>
      </c>
      <c r="F12" s="31" t="inlineStr">
        <is>
          <t xml:space="preserve">Resolved</t>
        </is>
      </c>
    </row>
    <row r="13" s="23">
      <c r="A13" s="31" t="n">
        <v>10</v>
      </c>
      <c r="B13" s="32" t="inlineStr">
        <is>
          <t>Allowed file types, max file size, mandatory documents by scenario</t>
        </is>
      </c>
      <c r="C13" s="32" t="inlineStr">
        <is>
          <t>Upload tests</t>
        </is>
      </c>
      <c r="D13" s="32" t="inlineStr">
        <is>
          <t>TC-KYC-03, TC-DOC-*</t>
        </is>
      </c>
      <c r="E13" s="41" t="inlineStr">
        <is>
          <t xml:space="preserve">Documents step accepts the configured types/size; the KYC step has no upload (TC-KYC-03 app gap). Missing KYC document does not block = seeded DEF-DOC-001.</t>
        </is>
      </c>
      <c r="F13" s="31" t="inlineStr">
        <is>
          <t xml:space="preserve">Resolved</t>
        </is>
      </c>
    </row>
    <row r="14" s="23">
      <c r="A14" s="31" t="n">
        <v>11</v>
      </c>
      <c r="B14" s="32" t="inlineStr">
        <is>
          <t>Duplicate beneficiary exact key and irrevocable modal wording</t>
        </is>
      </c>
      <c r="C14" s="32" t="inlineStr">
        <is>
          <t>Duplicate/special tests</t>
        </is>
      </c>
      <c r="D14" s="32" t="inlineStr">
        <is>
          <t>TC-BEN-08/10</t>
        </is>
      </c>
      <c r="E14" s="41" t="inlineStr">
        <is>
          <t xml:space="preserve">No duplicate-beneficiary check exists (TC-BEN-08 app gap). Irrevocable designation uses a browser confirm() dialog.</t>
        </is>
      </c>
      <c r="F14" s="31" t="inlineStr">
        <is>
          <t xml:space="preserve">Resolved</t>
        </is>
      </c>
    </row>
    <row r="15" s="23">
      <c r="A15" s="31" t="n">
        <v>12</v>
      </c>
      <c r="B15" s="32" t="inlineStr">
        <is>
          <t>Seeded defect catalog / defect codes</t>
        </is>
      </c>
      <c r="C15" s="32" t="inlineStr">
        <is>
          <t>Replace descriptive defect links with codes</t>
        </is>
      </c>
      <c r="D15" s="32" t="inlineStr">
        <is>
          <t>All (column G)</t>
        </is>
      </c>
      <c r="E15" s="41" t="inlineStr">
        <is>
          <t xml:space="preserve">Catalog received (SeededDefectSeeder, 20 active codes). Column G updated with DEF codes.</t>
        </is>
      </c>
      <c r="F15" s="31" t="inlineStr">
        <is>
          <t xml:space="preserve">Resolved</t>
        </is>
      </c>
    </row>
    <row r="16" s="23">
      <c r="A16" s="31" t="n">
        <v>13</v>
      </c>
      <c r="B16" s="32" t="inlineStr">
        <is>
          <t>Real data-testid / label names and API error structure</t>
        </is>
      </c>
      <c r="C16" s="32" t="inlineStr">
        <is>
          <t>Locators and API assertions</t>
        </is>
      </c>
      <c r="D16" s="32" t="inlineStr">
        <is>
          <t>All</t>
        </is>
      </c>
      <c r="E16" s="41" t="inlineStr">
        <is>
          <t xml:space="preserve">data-testids mapped in the page objects. The lab app has no REST API (/api/* returns 404): API cases Blocked, API cross-checks in UI tests recorded as api-gap annotations.</t>
        </is>
      </c>
      <c r="F16" s="31" t="inlineStr">
        <is>
          <t xml:space="preserve">Resolved</t>
        </is>
      </c>
    </row>
    <row r="17" ht="23.85" customHeight="1" s="23">
      <c r="A17" s="31" t="n">
        <v>14</v>
      </c>
      <c r="B17" s="32" t="inlineStr">
        <is>
          <t>Database access, schema and read-only credentials</t>
        </is>
      </c>
      <c r="C17" s="32" t="inlineStr">
        <is>
          <t>Persistence evidence</t>
        </is>
      </c>
      <c r="D17" s="32" t="inlineStr">
        <is>
          <t>TC-DASH-04, TC-WF-01/02, TC-WF-13</t>
        </is>
      </c>
      <c r="E17" s="41" t="n"/>
      <c r="F17" s="31" t="inlineStr">
        <is>
          <t>Open</t>
        </is>
      </c>
    </row>
    <row r="18" s="23">
      <c r="A18" s="31" t="n">
        <v>15</v>
      </c>
      <c r="B18" s="32" t="inlineStr">
        <is>
          <t>Session timeout duration and behavior with unsaved edits</t>
        </is>
      </c>
      <c r="C18" s="32" t="inlineStr">
        <is>
          <t>Expiry test design</t>
        </is>
      </c>
      <c r="D18" s="32" t="inlineStr">
        <is>
          <t>TC-AUTH-12</t>
        </is>
      </c>
      <c r="E18" s="41" t="inlineStr">
        <is>
          <t xml:space="preserve">Expired session: save returns 419 "Page Expired"; the next request redirects to /login (TC-AUTH-12 passes).</t>
        </is>
      </c>
      <c r="F18" s="31" t="inlineStr">
        <is>
          <t xml:space="preserve">Resolved</t>
        </is>
      </c>
    </row>
    <row r="19" ht="15" customHeight="1" s="23">
      <c r="A19" s="31" t="n">
        <v>16</v>
      </c>
      <c r="B19" s="32" t="inlineStr">
        <is>
          <t>Pending-agent behavior and message</t>
        </is>
      </c>
      <c r="C19" s="32" t="inlineStr">
        <is>
          <t>Expected result wording</t>
        </is>
      </c>
      <c r="D19" s="32" t="inlineStr">
        <is>
          <t>TC-AUTH-13</t>
        </is>
      </c>
      <c r="E19" s="41" t="n"/>
      <c r="F19" s="31" t="inlineStr">
        <is>
          <t>Open</t>
        </is>
      </c>
    </row>
    <row r="20" ht="15" customHeight="1" s="23">
      <c r="A20" s="31" t="n">
        <v>17</v>
      </c>
      <c r="B20" s="32" t="inlineStr">
        <is>
          <t>Product age-eligibility ranges and term combinations</t>
        </is>
      </c>
      <c r="C20" s="32" t="inlineStr">
        <is>
          <t>Eligibility and term assertions</t>
        </is>
      </c>
      <c r="D20" s="32" t="inlineStr">
        <is>
          <t>TC-PROD-10/11</t>
        </is>
      </c>
      <c r="E20" s="41" t="n"/>
      <c r="F20" s="31" t="inlineStr">
        <is>
          <t>Open</t>
        </is>
      </c>
    </row>
    <row r="21" ht="15" customHeight="1" s="23">
      <c r="A21" s="31" t="n">
        <v>18</v>
      </c>
      <c r="B21" s="32" t="inlineStr">
        <is>
          <t>Rider dependency pairs and exclusive waiver pair</t>
        </is>
      </c>
      <c r="C21" s="32" t="inlineStr">
        <is>
          <t>Decision-table data</t>
        </is>
      </c>
      <c r="D21" s="32" t="inlineStr">
        <is>
          <t>TC-RID-05/08</t>
        </is>
      </c>
      <c r="E21" s="41" t="n"/>
      <c r="F21" s="31" t="inlineStr">
        <is>
          <t>Open</t>
        </is>
      </c>
    </row>
    <row r="22" s="23">
      <c r="A22" s="31" t="n">
        <v>19</v>
      </c>
      <c r="B22" s="32" t="inlineStr">
        <is>
          <t>ID issue/expiry validation rules; allocation decimal rule</t>
        </is>
      </c>
      <c r="C22" s="32" t="inlineStr">
        <is>
          <t>Boundary assertions</t>
        </is>
      </c>
      <c r="D22" s="32" t="inlineStr">
        <is>
          <t>TC-KYC-09, TC-BEN-13, TC-PROD-12</t>
        </is>
      </c>
      <c r="E22" s="41" t="inlineStr">
        <is>
          <t xml:space="preserve">ID dates only checked with after_or_equal (TC-KYC-09 app gap); 0% allocation is accepted (TC-BEN-13 app gap); face value decimals rejected by the input step.</t>
        </is>
      </c>
      <c r="F22" s="31" t="inlineStr">
        <is>
          <t xml:space="preserve">Resolved</t>
        </is>
      </c>
    </row>
    <row r="23" ht="23.85" customHeight="1" s="23">
      <c r="A23" s="31" t="n">
        <v>20</v>
      </c>
      <c r="B23" s="32" t="inlineStr">
        <is>
          <t>Dashboard and catalog search fields (name, reference, product)</t>
        </is>
      </c>
      <c r="C23" s="32" t="inlineStr">
        <is>
          <t>Search assertions</t>
        </is>
      </c>
      <c r="D23" s="32" t="inlineStr">
        <is>
          <t>TC-DASH-07, TC-PROD-13</t>
        </is>
      </c>
      <c r="E23" s="41" t="n"/>
      <c r="F23" s="31" t="inlineStr">
        <is>
          <t>Open</t>
        </is>
      </c>
    </row>
    <row r="24" s="23">
      <c r="A24" s="31" t="n">
        <v>21</v>
      </c>
      <c r="B24" s="32" t="inlineStr">
        <is>
          <t xml:space="preserve">App gaps: required behaviour not implemented in the app and not in the seeded catalog</t>
        </is>
      </c>
      <c r="C24" s="32" t="inlineStr">
        <is>
          <t xml:space="preserve">Cases cannot pass until the app implements them</t>
        </is>
      </c>
      <c r="D24" s="32" t="inlineStr">
        <is>
          <t xml:space="preserve">TC-AUTH-01, TC-DASH-03, TC-RID-01/03/06, TC-KYC-02/03/04/09, TC-ADDR-05, TC-CLI-09, TC-BEN-08/11/13, TC-VAL-02, TC-WF-09</t>
        </is>
      </c>
      <c r="E24" s="32" t="inlineStr">
        <is>
          <t xml:space="preserve">Scripts kept, reported as fixme with the reason (Execution Result = Skipped). Confirm with mentor whether these are requirements or out of scope.</t>
        </is>
      </c>
      <c r="F24" s="31" t="inlineStr">
        <is>
          <t xml:space="preserve">Open</t>
        </is>
      </c>
    </row>
    <row r="25" s="23">
      <c r="A25" s="31" t="n">
        <v>22</v>
      </c>
      <c r="B25" s="32" t="inlineStr">
        <is>
          <t xml:space="preserve">New defects found (not in the seeded catalog)</t>
        </is>
      </c>
      <c r="C25" s="32" t="inlineStr">
        <is>
          <t xml:space="preserve">Real bugs to report</t>
        </is>
      </c>
      <c r="D25" s="32" t="inlineStr">
        <is>
          <t xml:space="preserve">TC-AUTH-04 (logout), TC-WF-04 (submitted application editable), TC-WF-12 (confirmation reachable before submit)</t>
        </is>
      </c>
      <c r="E25" s="32" t="inlineStr">
        <is>
          <t xml:space="preserve">Failing in the 23-Oct-2026 run; to be logged as defects.</t>
        </is>
      </c>
      <c r="F25" s="31" t="inlineStr">
        <is>
          <t xml:space="preserve">Open</t>
        </is>
      </c>
    </row>
    <row r="26" s="23">
      <c r="A26" s="31" t="n">
        <v>23</v>
      </c>
      <c r="B26" s="32" t="inlineStr">
        <is>
          <t xml:space="preserve">Seeded defects that did not reproduce in the UI</t>
        </is>
      </c>
      <c r="C26" s="32" t="inlineStr">
        <is>
          <t xml:space="preserve">Defect log accuracy</t>
        </is>
      </c>
      <c r="D26" s="32" t="inlineStr">
        <is>
          <t xml:space="preserve">TC-WF-06 (DEF-STATUS-001), TC-BEN-05 (DEF-BEN-002)</t>
        </is>
      </c>
      <c r="E26" s="32" t="inlineStr">
        <is>
          <t xml:space="preserve">Dashboard shows SUBMITTED; minor guardian details are enforced. Tests pass; noted in column G.</t>
        </is>
      </c>
      <c r="F26" s="31" t="inlineStr">
        <is>
          <t xml:space="preserve">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F3864"/>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14" customWidth="1" style="22" min="2" max="2"/>
    <col width="58" customWidth="1" style="22" min="3" max="3"/>
    <col width="36" customWidth="1" style="22" min="4" max="4"/>
    <col width="46" customWidth="1" style="22" min="5" max="5"/>
    <col width="24" customWidth="1" style="22" min="6" max="6"/>
  </cols>
  <sheetData>
    <row r="1" ht="17.35" customHeight="1" s="23">
      <c r="A1" s="24" t="inlineStr">
        <is>
          <t>Reviewer Findings and Changes Applied (v2 review against Submission 2 documents)</t>
        </is>
      </c>
    </row>
    <row r="3" ht="15" customHeight="1" s="23">
      <c r="A3" s="30" t="inlineStr">
        <is>
          <t>#</t>
        </is>
      </c>
      <c r="B3" s="30" t="inlineStr">
        <is>
          <t>Type</t>
        </is>
      </c>
      <c r="C3" s="30" t="inlineStr">
        <is>
          <t>Finding</t>
        </is>
      </c>
      <c r="D3" s="30" t="inlineStr">
        <is>
          <t>Source requirement</t>
        </is>
      </c>
      <c r="E3" s="30" t="inlineStr">
        <is>
          <t>Action taken</t>
        </is>
      </c>
      <c r="F3" s="30" t="inlineStr">
        <is>
          <t>Test case(s)</t>
        </is>
      </c>
    </row>
    <row r="4" ht="23.85" customHeight="1" s="23">
      <c r="A4" s="31" t="n">
        <v>1</v>
      </c>
      <c r="B4" s="31" t="inlineStr">
        <is>
          <t>Gap</t>
        </is>
      </c>
      <c r="C4" s="32" t="inlineStr">
        <is>
          <t>No test for session timeout / expiry</t>
        </is>
      </c>
      <c r="D4" s="32" t="inlineStr">
        <is>
          <t>Auth automation focus: session timeout; Sub 1 path 'Session expiration'</t>
        </is>
      </c>
      <c r="E4" s="32" t="inlineStr">
        <is>
          <t>Added session-expiry test</t>
        </is>
      </c>
      <c r="F4" s="32" t="inlineStr">
        <is>
          <t>TC-AUTH-12</t>
        </is>
      </c>
    </row>
    <row r="5" ht="15" customHeight="1" s="23">
      <c r="A5" s="31" t="n">
        <v>2</v>
      </c>
      <c r="B5" s="31" t="inlineStr">
        <is>
          <t>Gap</t>
        </is>
      </c>
      <c r="C5" s="32" t="inlineStr">
        <is>
          <t>Pending (unapproved) agent role not tested</t>
        </is>
      </c>
      <c r="D5" s="32" t="inlineStr">
        <is>
          <t>Auth user types; Sub 1 roles table</t>
        </is>
      </c>
      <c r="E5" s="32" t="inlineStr">
        <is>
          <t>Added pending-agent access test</t>
        </is>
      </c>
      <c r="F5" s="32" t="inlineStr">
        <is>
          <t>TC-AUTH-13</t>
        </is>
      </c>
    </row>
    <row r="6" ht="23.85" customHeight="1" s="23">
      <c r="A6" s="31" t="n">
        <v>3</v>
      </c>
      <c r="B6" s="31" t="inlineStr">
        <is>
          <t>Gap</t>
        </is>
      </c>
      <c r="C6" s="32" t="inlineStr">
        <is>
          <t>Dashboard search and profile/support routes not covered</t>
        </is>
      </c>
      <c r="D6" s="32" t="inlineStr">
        <is>
          <t>Dashboard: search, filters; routes /profile, /support</t>
        </is>
      </c>
      <c r="E6" s="32" t="inlineStr">
        <is>
          <t>Added search and route tests</t>
        </is>
      </c>
      <c r="F6" s="32" t="inlineStr">
        <is>
          <t>TC-DASH-07, TC-DASH-09</t>
        </is>
      </c>
    </row>
    <row r="7" ht="15" customHeight="1" s="23">
      <c r="A7" s="31" t="n">
        <v>4</v>
      </c>
      <c r="B7" s="31" t="inlineStr">
        <is>
          <t>Gap</t>
        </is>
      </c>
      <c r="C7" s="32" t="inlineStr">
        <is>
          <t>Cross-agent access only tested via lists, not direct URL</t>
        </is>
      </c>
      <c r="D7" s="32" t="inlineStr">
        <is>
          <t>Risk QR-02 (Critical)</t>
        </is>
      </c>
      <c r="E7" s="32" t="inlineStr">
        <is>
          <t>Added direct-URL isolation test</t>
        </is>
      </c>
      <c r="F7" s="32" t="inlineStr">
        <is>
          <t>TC-DASH-08</t>
        </is>
      </c>
    </row>
    <row r="8" ht="15" customHeight="1" s="23">
      <c r="A8" s="31" t="n">
        <v>5</v>
      </c>
      <c r="B8" s="31" t="inlineStr">
        <is>
          <t>Gap</t>
        </is>
      </c>
      <c r="C8" s="32" t="inlineStr">
        <is>
          <t>Impossible/malformed DOB values not tested</t>
        </is>
      </c>
      <c r="D8" s="32" t="inlineStr">
        <is>
          <t>Client DOB boundaries, date validation</t>
        </is>
      </c>
      <c r="E8" s="32" t="inlineStr">
        <is>
          <t>Added malformed DOB test</t>
        </is>
      </c>
      <c r="F8" s="32" t="inlineStr">
        <is>
          <t>TC-CLI-09</t>
        </is>
      </c>
    </row>
    <row r="9" ht="23.85" customHeight="1" s="23">
      <c r="A9" s="31" t="n">
        <v>6</v>
      </c>
      <c r="B9" s="31" t="inlineStr">
        <is>
          <t>Gap</t>
        </is>
      </c>
      <c r="C9" s="32" t="inlineStr">
        <is>
          <t>Financial suitability fields (income, net worth, source of funds, risk profile) and ID expiry not validated</t>
        </is>
      </c>
      <c r="D9" s="32" t="inlineStr">
        <is>
          <t>KYC and financial spec</t>
        </is>
      </c>
      <c r="E9" s="32" t="inlineStr">
        <is>
          <t>Added two KYC tests</t>
        </is>
      </c>
      <c r="F9" s="32" t="inlineStr">
        <is>
          <t>TC-KYC-08, TC-KYC-09</t>
        </is>
      </c>
    </row>
    <row r="10" ht="23.85" customHeight="1" s="23">
      <c r="A10" s="31" t="n">
        <v>7</v>
      </c>
      <c r="B10" s="31" t="inlineStr">
        <is>
          <t>Gap</t>
        </is>
      </c>
      <c r="C10" s="32" t="inlineStr">
        <is>
          <t>Product eligibility vs client age was missing although listed in problem statement 2.2</t>
        </is>
      </c>
      <c r="D10" s="32" t="inlineStr">
        <is>
          <t>Problem statement 2.2</t>
        </is>
      </c>
      <c r="E10" s="32" t="inlineStr">
        <is>
          <t>Added eligibility test (High, P1)</t>
        </is>
      </c>
      <c r="F10" s="32" t="inlineStr">
        <is>
          <t>TC-PROD-10</t>
        </is>
      </c>
    </row>
    <row r="11" ht="23.85" customHeight="1" s="23">
      <c r="A11" s="31" t="n">
        <v>8</v>
      </c>
      <c r="B11" s="31" t="inlineStr">
        <is>
          <t>Gap</t>
        </is>
      </c>
      <c r="C11" s="32" t="inlineStr">
        <is>
          <t>Payment/policy term rules, invalid face-value inputs, catalog search and UI-vs-API premium not covered</t>
        </is>
      </c>
      <c r="D11" s="32" t="inlineStr">
        <is>
          <t>Product spec table; ProductCatalogPage; premium API reconciliation</t>
        </is>
      </c>
      <c r="E11" s="32" t="inlineStr">
        <is>
          <t>Added four product tests</t>
        </is>
      </c>
      <c r="F11" s="32" t="inlineStr">
        <is>
          <t>TC-PROD-11..14</t>
        </is>
      </c>
    </row>
    <row r="12" ht="23.85" customHeight="1" s="23">
      <c r="A12" s="31" t="n">
        <v>9</v>
      </c>
      <c r="B12" s="31" t="inlineStr">
        <is>
          <t>Gap</t>
        </is>
      </c>
      <c r="C12" s="32" t="inlineStr">
        <is>
          <t>Rider dependency rules and rider removal not covered</t>
        </is>
      </c>
      <c r="D12" s="32" t="inlineStr">
        <is>
          <t>Rider spec: dependency rules; premium itemization</t>
        </is>
      </c>
      <c r="E12" s="32" t="inlineStr">
        <is>
          <t>Added two rider tests</t>
        </is>
      </c>
      <c r="F12" s="32" t="inlineStr">
        <is>
          <t>TC-RID-08, TC-RID-09</t>
        </is>
      </c>
    </row>
    <row r="13" ht="23.85" customHeight="1" s="23">
      <c r="A13" s="31" t="n">
        <v>10</v>
      </c>
      <c r="B13" s="31" t="inlineStr">
        <is>
          <t>Gap</t>
        </is>
      </c>
      <c r="C13" s="32" t="inlineStr">
        <is>
          <t>Beneficiary edit, invalid allocation inputs and persistence not covered</t>
        </is>
      </c>
      <c r="D13" s="32" t="inlineStr">
        <is>
          <t>Beneficiary spec: add/edit/remove; allocation; persistence</t>
        </is>
      </c>
      <c r="E13" s="32" t="inlineStr">
        <is>
          <t>Added three beneficiary tests</t>
        </is>
      </c>
      <c r="F13" s="32" t="inlineStr">
        <is>
          <t>TC-BEN-12..14</t>
        </is>
      </c>
    </row>
    <row r="14" ht="23.85" customHeight="1" s="23">
      <c r="A14" s="31" t="n">
        <v>11</v>
      </c>
      <c r="B14" s="31" t="inlineStr">
        <is>
          <t>Gap</t>
        </is>
      </c>
      <c r="C14" s="32" t="inlineStr">
        <is>
          <t>Validation summary staleness was bundled inside the submit-gating test; review data consistency and upload persistence missing</t>
        </is>
      </c>
      <c r="D14" s="32" t="inlineStr">
        <is>
          <t>Guideline: review consistency; Risk QR-08</t>
        </is>
      </c>
      <c r="E14" s="32" t="inlineStr">
        <is>
          <t>Split stale-summary into its own test; added review-consistency and upload-persistence tests</t>
        </is>
      </c>
      <c r="F14" s="32" t="inlineStr">
        <is>
          <t>TC-VAL-03/04/05, TC-DOC-05</t>
        </is>
      </c>
    </row>
    <row r="15" ht="23.85" customHeight="1" s="23">
      <c r="A15" s="31" t="n">
        <v>12</v>
      </c>
      <c r="B15" s="31" t="inlineStr">
        <is>
          <t>Gap</t>
        </is>
      </c>
      <c r="C15" s="32" t="inlineStr">
        <is>
          <t>No smoke path that stops at review (guideline build step 5); no double-submit, confirmation gating or submitted-data persistence tests</t>
        </is>
      </c>
      <c r="D15" s="32" t="inlineStr">
        <is>
          <t>Guideline 4 step 5; Risk QR-09, QR-10</t>
        </is>
      </c>
      <c r="E15" s="32" t="inlineStr">
        <is>
          <t>Added four workflow tests</t>
        </is>
      </c>
      <c r="F15" s="32" t="inlineStr">
        <is>
          <t>TC-WF-10..13</t>
        </is>
      </c>
    </row>
    <row r="16" ht="23.85" customHeight="1" s="23">
      <c r="A16" s="31" t="n">
        <v>13</v>
      </c>
      <c r="B16" s="31" t="inlineStr">
        <is>
          <t>Gap</t>
        </is>
      </c>
      <c r="C16" s="32" t="inlineStr">
        <is>
          <t>API areas with no test: riders, beneficiaries, documents, client GET/persistence, status history</t>
        </is>
      </c>
      <c r="D16" s="32" t="inlineStr">
        <is>
          <t>Functional spec 3.9 API validation scope</t>
        </is>
      </c>
      <c r="E16" s="32" t="inlineStr">
        <is>
          <t>Added five API tests</t>
        </is>
      </c>
      <c r="F16" s="32" t="inlineStr">
        <is>
          <t>TC-API-10..14</t>
        </is>
      </c>
    </row>
    <row r="17" ht="23.85" customHeight="1" s="23">
      <c r="A17" s="31" t="n">
        <v>14</v>
      </c>
      <c r="B17" s="31" t="inlineStr">
        <is>
          <t>Gap</t>
        </is>
      </c>
      <c r="C17" s="32" t="inlineStr">
        <is>
          <t>No test proving UI and API apply the same rules (explicit business problem)</t>
        </is>
      </c>
      <c r="D17" s="32" t="inlineStr">
        <is>
          <t>Problem statement 2.2: API validation differs from UI</t>
        </is>
      </c>
      <c r="E17" s="32" t="inlineStr">
        <is>
          <t>Added data-driven parity test (Critical)</t>
        </is>
      </c>
      <c r="F17" s="32" t="inlineStr">
        <is>
          <t>TC-API-15</t>
        </is>
      </c>
    </row>
    <row r="18" ht="15" customHeight="1" s="23">
      <c r="A18" s="31" t="n">
        <v>15</v>
      </c>
      <c r="B18" s="31" t="inlineStr">
        <is>
          <t>Gap</t>
        </is>
      </c>
      <c r="C18" s="32" t="inlineStr">
        <is>
          <t>Cross-browser risk QR-13 had no test</t>
        </is>
      </c>
      <c r="D18" s="32" t="inlineStr">
        <is>
          <t>Sub 1 browser plan</t>
        </is>
      </c>
      <c r="E18" s="32" t="inlineStr">
        <is>
          <t>Added Firefox/WebKit smoke case</t>
        </is>
      </c>
      <c r="F18" s="32" t="inlineStr">
        <is>
          <t>TC-XC-01</t>
        </is>
      </c>
    </row>
    <row r="19" ht="23.85" customHeight="1" s="23">
      <c r="A19" s="31" t="n">
        <v>16</v>
      </c>
      <c r="B19" s="31" t="inlineStr">
        <is>
          <t>Weak</t>
        </is>
      </c>
      <c r="C19" s="32" t="inlineStr">
        <is>
          <t>Ambiguous expected results ('Error shown; progression blocked') for allocation tests</t>
        </is>
      </c>
      <c r="D19" s="32" t="inlineStr">
        <is>
          <t>Guideline: observable expected results</t>
        </is>
      </c>
      <c r="E19" s="32" t="inlineStr">
        <is>
          <t>Rewrote with running-total value, blocked action and review-summary check</t>
        </is>
      </c>
      <c r="F19" s="32" t="inlineStr">
        <is>
          <t>TC-BEN-02, TC-BEN-03</t>
        </is>
      </c>
    </row>
    <row r="20" ht="15" customHeight="1" s="23">
      <c r="A20" s="31" t="n">
        <v>17</v>
      </c>
      <c r="B20" s="31" t="inlineStr">
        <is>
          <t>Weak</t>
        </is>
      </c>
      <c r="C20" s="32" t="inlineStr">
        <is>
          <t>Login negative test did not check user enumeration</t>
        </is>
      </c>
      <c r="D20" s="32" t="inlineStr">
        <is>
          <t>AUTH-V02 and misleading-message risk</t>
        </is>
      </c>
      <c r="E20" s="32" t="inlineStr">
        <is>
          <t>Added unknown-user step; same-message assertion</t>
        </is>
      </c>
      <c r="F20" s="32" t="inlineStr">
        <is>
          <t>TC-AUTH-02</t>
        </is>
      </c>
    </row>
    <row r="21" ht="15" customHeight="1" s="23">
      <c r="A21" s="31" t="n">
        <v>18</v>
      </c>
      <c r="B21" s="31" t="inlineStr">
        <is>
          <t>Weak</t>
        </is>
      </c>
      <c r="C21" s="32" t="inlineStr">
        <is>
          <t>Lockout test did not assert attempts 1-4 stay unlocked or persistence</t>
        </is>
      </c>
      <c r="D21" s="32" t="inlineStr">
        <is>
          <t>AUTH-V07</t>
        </is>
      </c>
      <c r="E21" s="32" t="inlineStr">
        <is>
          <t>Expanded expected result</t>
        </is>
      </c>
      <c r="F21" s="32" t="inlineStr">
        <is>
          <t>TC-AUTH-07</t>
        </is>
      </c>
    </row>
    <row r="22" ht="23.85" customHeight="1" s="23">
      <c r="A22" s="31" t="n">
        <v>19</v>
      </c>
      <c r="B22" s="31" t="inlineStr">
        <is>
          <t>Weak</t>
        </is>
      </c>
      <c r="C22" s="32" t="inlineStr">
        <is>
          <t>API-02 only checked one endpoint</t>
        </is>
      </c>
      <c r="D22" s="32" t="inlineStr">
        <is>
          <t>API-V02 'requires authorization'</t>
        </is>
      </c>
      <c r="E22" s="32" t="inlineStr">
        <is>
          <t>Now loops over multiple protected endpoints with no and invalid token</t>
        </is>
      </c>
      <c r="F22" s="32" t="inlineStr">
        <is>
          <t>TC-API-02</t>
        </is>
      </c>
    </row>
    <row r="23" ht="23.85" customHeight="1" s="23">
      <c r="A23" s="31" t="n">
        <v>20</v>
      </c>
      <c r="B23" s="31" t="inlineStr">
        <is>
          <t>Overlap</t>
        </is>
      </c>
      <c r="C23" s="32" t="inlineStr">
        <is>
          <t>DASH-06 and API-06 both compared status with API</t>
        </is>
      </c>
      <c r="D23" s="32" t="inlineStr">
        <is>
          <t>Avoid duplicate coverage</t>
        </is>
      </c>
      <c r="E23" s="32" t="inlineStr">
        <is>
          <t>Differentiated: status endpoint (DASH-06) vs list endpoint (API-06)</t>
        </is>
      </c>
      <c r="F23" s="32" t="inlineStr">
        <is>
          <t>TC-DASH-06, TC-API-06</t>
        </is>
      </c>
    </row>
    <row r="24" ht="23.85" customHeight="1" s="23">
      <c r="A24" s="31" t="n">
        <v>21</v>
      </c>
      <c r="B24" s="31" t="inlineStr">
        <is>
          <t>Quality</t>
        </is>
      </c>
      <c r="C24" s="32" t="inlineStr">
        <is>
          <t>Negative tests did not prove invalid data is not stored</t>
        </is>
      </c>
      <c r="D24" s="32" t="inlineStr">
        <is>
          <t>Spec 7.9 persistence: rejected inputs not persisted</t>
        </is>
      </c>
      <c r="E24" s="32" t="inlineStr">
        <is>
          <t>Added 'not saved' check to every negative/boundary UI test in data modules</t>
        </is>
      </c>
      <c r="F24" s="32" t="inlineStr">
        <is>
          <t>All negative UI cases</t>
        </is>
      </c>
    </row>
    <row r="25" ht="23.85" customHeight="1" s="23">
      <c r="A25" s="31" t="n">
        <v>22</v>
      </c>
      <c r="B25" s="31" t="inlineStr">
        <is>
          <t>Quality</t>
        </is>
      </c>
      <c r="C25" s="32" t="inlineStr">
        <is>
          <t>No indication of positive vs negative balance</t>
        </is>
      </c>
      <c r="D25" s="32" t="inlineStr">
        <is>
          <t>Common mistake: happy-path only</t>
        </is>
      </c>
      <c r="E25" s="32" t="inlineStr">
        <is>
          <t>Added Scenario Type column and mix table on Coverage Summary</t>
        </is>
      </c>
      <c r="F25" s="32" t="inlineStr">
        <is>
          <t>All</t>
        </is>
      </c>
    </row>
    <row r="26" ht="15" customHeight="1" s="23">
      <c r="A26" s="31" t="n">
        <v>23</v>
      </c>
      <c r="B26" s="31" t="inlineStr">
        <is>
          <t>Quality</t>
        </is>
      </c>
      <c r="C26" s="32" t="inlineStr">
        <is>
          <t>Backend verification not visible per test</t>
        </is>
      </c>
      <c r="D26" s="32" t="inlineStr">
        <is>
          <t>Sub 1 layered validation (UI/API/DB)</t>
        </is>
      </c>
      <c r="E26" s="32" t="inlineStr">
        <is>
          <t>Added Backend Cross-check column for key tests</t>
        </is>
      </c>
      <c r="F26" s="32" t="inlineStr">
        <is>
          <t>20 cases</t>
        </is>
      </c>
    </row>
    <row r="27" ht="23.85" customHeight="1" s="23">
      <c r="A27" s="31" t="n">
        <v>24</v>
      </c>
      <c r="B27" s="31" t="inlineStr">
        <is>
          <t>Quality</t>
        </is>
      </c>
      <c r="C27" s="32" t="inlineStr">
        <is>
          <t>Test independence and shared-state risk not recorded</t>
        </is>
      </c>
      <c r="D27" s="32" t="inlineStr">
        <is>
          <t>Best practice: independent tests; QR-12 seed collision</t>
        </is>
      </c>
      <c r="E27" s="32" t="inlineStr">
        <is>
          <t>Added Isolation / Cleanup column; lockout and reset tests flagged serial/reserved</t>
        </is>
      </c>
      <c r="F27" s="32" t="inlineStr">
        <is>
          <t>All</t>
        </is>
      </c>
    </row>
    <row r="28" ht="23.85" customHeight="1" s="23">
      <c r="A28" s="31" t="n">
        <v>25</v>
      </c>
      <c r="B28" s="31" t="inlineStr">
        <is>
          <t>Quality</t>
        </is>
      </c>
      <c r="C28" s="32" t="inlineStr">
        <is>
          <t>Short-cohort fallback was a loose rule</t>
        </is>
      </c>
      <c r="D28" s="32" t="inlineStr">
        <is>
          <t>Min coverage 30-35 option</t>
        </is>
      </c>
      <c r="E28" s="32" t="inlineStr">
        <is>
          <t>Defined an explicit flagged set that keeps auth, E2E, allocation, rider rules, API</t>
        </is>
      </c>
      <c r="F28" s="32" t="inlineStr">
        <is>
          <t>Short-Cohort Set = Y</t>
        </is>
      </c>
    </row>
    <row r="29" s="23">
      <c r="A29" s="31" t="n">
        <v>26</v>
      </c>
      <c r="B29" s="31" t="inlineStr">
        <is>
          <t xml:space="preserve">Alignment</t>
        </is>
      </c>
      <c r="C29" s="32" t="inlineStr">
        <is>
          <t xml:space="preserve">v3 (23-Oct-2026): design sheet checked against the Playwright suite</t>
        </is>
      </c>
      <c r="D29" s="32" t="inlineStr">
        <is>
          <t xml:space="preserve">npx playwright test --list (123 tests in 48 files)</t>
        </is>
      </c>
      <c r="E29" s="32" t="inlineStr">
        <is>
          <t xml:space="preserve">123 design cases = 123 automated tests, same IDs, no duplicates or orphans. Execution Result and Notes filled from the 23-Oct-2026 run.</t>
        </is>
      </c>
      <c r="F29" s="32" t="inlineStr">
        <is>
          <t xml:space="preserve">All</t>
        </is>
      </c>
    </row>
    <row r="30" s="23">
      <c r="A30" s="31" t="n">
        <v>27</v>
      </c>
      <c r="B30" s="31" t="inlineStr">
        <is>
          <t xml:space="preserve">Defect link</t>
        </is>
      </c>
      <c r="C30" s="32" t="inlineStr">
        <is>
          <t xml:space="preserve">Seeded defect catalog now available</t>
        </is>
      </c>
      <c r="D30" s="32" t="inlineStr">
        <is>
          <t xml:space="preserve">Lab SeededDefectSeeder (20 active codes)</t>
        </is>
      </c>
      <c r="E30" s="32" t="inlineStr">
        <is>
          <t xml:space="preserve">Column G set to the DEF code for the 14 cases that fail by design; 2 seeded defects noted as not reproduced.</t>
        </is>
      </c>
      <c r="F30" s="32" t="inlineStr">
        <is>
          <t xml:space="preserve">TC-AUTH-06/11, TC-KYC-01/05, TC-PROD-07, TC-BEN-02/04/05, TC-VAL-04, TC-RID-02/05, TC-CLI-03/07/08, TC-DOC-04, TC-WF-06</t>
        </is>
      </c>
    </row>
    <row r="31" s="23">
      <c r="A31" s="31" t="n">
        <v>28</v>
      </c>
      <c r="B31" s="31" t="inlineStr">
        <is>
          <t xml:space="preserve">Rewrite</t>
        </is>
      </c>
      <c r="C31" s="32" t="inlineStr">
        <is>
          <t xml:space="preserve">Expected results assumed fields that cannot be empty in the app</t>
        </is>
      </c>
      <c r="D31" s="32" t="inlineStr">
        <is>
          <t xml:space="preserve">App: dropdowns without a blank option, prefilled nationality</t>
        </is>
      </c>
      <c r="E31" s="32" t="inlineStr">
        <is>
          <t xml:space="preserve">Removed those fields from the empty-field checks.</t>
        </is>
      </c>
      <c r="F31" s="32" t="inlineStr">
        <is>
          <t xml:space="preserve">TC-CLI-02, TC-KYC-08</t>
        </is>
      </c>
    </row>
    <row r="32" s="23">
      <c r="A32" s="31" t="n">
        <v>29</v>
      </c>
      <c r="B32" s="31" t="inlineStr">
        <is>
          <t xml:space="preserve">Rewrite</t>
        </is>
      </c>
      <c r="C32" s="32" t="inlineStr">
        <is>
          <t xml:space="preserve">Age rule and calculated age are on Review, not on the Client step</t>
        </is>
      </c>
      <c r="D32" s="32" t="inlineStr">
        <is>
          <t xml:space="preserve">App: ApplicationValidationService</t>
        </is>
      </c>
      <c r="E32" s="32" t="inlineStr">
        <is>
          <t xml:space="preserve">Steps now complete the Client step and check the Review summary / Calculated Age.</t>
        </is>
      </c>
      <c r="F32" s="32" t="inlineStr">
        <is>
          <t xml:space="preserve">TC-CLI-03, TC-CLI-04, TC-CLI-07</t>
        </is>
      </c>
    </row>
    <row r="33" s="23">
      <c r="A33" s="31" t="n">
        <v>30</v>
      </c>
      <c r="B33" s="31" t="inlineStr">
        <is>
          <t xml:space="preserve">Rewrite</t>
        </is>
      </c>
      <c r="C33" s="32" t="inlineStr">
        <is>
          <t xml:space="preserve">Beneficiary expectations did not match the app (alert at &gt;100%, required guardian contact/address, Level first, optional registration number)</t>
        </is>
      </c>
      <c r="D33" s="32" t="inlineStr">
        <is>
          <t xml:space="preserve">App: beneficiaries form</t>
        </is>
      </c>
      <c r="E33" s="32" t="inlineStr">
        <is>
          <t xml:space="preserve">Steps and expected results updated; duplicate DEF-BEN-001 checks removed from BEN-09/12.</t>
        </is>
      </c>
      <c r="F33" s="32" t="inlineStr">
        <is>
          <t xml:space="preserve">TC-BEN-03, TC-BEN-05, TC-BEN-06, TC-BEN-07, TC-BEN-09, TC-BEN-12</t>
        </is>
      </c>
    </row>
    <row r="34" s="23">
      <c r="A34" s="31" t="n">
        <v>31</v>
      </c>
      <c r="B34" s="31" t="inlineStr">
        <is>
          <t xml:space="preserve">Rewrite</t>
        </is>
      </c>
      <c r="C34" s="32" t="inlineStr">
        <is>
          <t xml:space="preserve">Review / dashboard / login / session expectations did not match the app</t>
        </is>
      </c>
      <c r="D34" s="32" t="inlineStr">
        <is>
          <t xml:space="preserve">App: review snapshot, dashboard reference numbers, native required validation, 419 on expiry</t>
        </is>
      </c>
      <c r="E34" s="32" t="inlineStr">
        <is>
          <t xml:space="preserve">Expected results updated to what the app shows.</t>
        </is>
      </c>
      <c r="F34" s="32" t="inlineStr">
        <is>
          <t xml:space="preserve">TC-VAL-01, TC-VAL-05, TC-WF-06, TC-AUTH-03, TC-AUTH-12, TC-PROD-09</t>
        </is>
      </c>
    </row>
    <row r="35" s="23">
      <c r="A35" s="31" t="n">
        <v>32</v>
      </c>
      <c r="B35" s="31" t="inlineStr">
        <is>
          <t xml:space="preserve">Status</t>
        </is>
      </c>
      <c r="C35" s="32" t="inlineStr">
        <is>
          <t xml:space="preserve">Behaviour not implemented in the app (app gaps)</t>
        </is>
      </c>
      <c r="D35" s="32" t="inlineStr">
        <is>
          <t xml:space="preserve">Run 23-Oct-2026</t>
        </is>
      </c>
      <c r="E35" s="32" t="inlineStr">
        <is>
          <t xml:space="preserve">Kept as designed; scripts report them as fixme (Skipped) with the reason; Open Item 21.</t>
        </is>
      </c>
      <c r="F35" s="32" t="inlineStr">
        <is>
          <t xml:space="preserve">16 cases (see Open Item 21)</t>
        </is>
      </c>
    </row>
    <row r="36" s="23">
      <c r="A36" s="31" t="n">
        <v>33</v>
      </c>
      <c r="B36" s="31" t="inlineStr">
        <is>
          <t xml:space="preserve">Status</t>
        </is>
      </c>
      <c r="C36" s="32" t="inlineStr">
        <is>
          <t xml:space="preserve">New defects found that are not seeded</t>
        </is>
      </c>
      <c r="D36" s="32" t="inlineStr">
        <is>
          <t xml:space="preserve">Run 23-Oct-2026</t>
        </is>
      </c>
      <c r="E36" s="32" t="inlineStr">
        <is>
          <t xml:space="preserve">Recorded as Fail with NEW DEFECT notes; Open Item 22.</t>
        </is>
      </c>
      <c r="F36" s="32" t="inlineStr">
        <is>
          <t xml:space="preserve">TC-AUTH-04, TC-WF-04, TC-WF-12</t>
        </is>
      </c>
    </row>
  </sheetData>
  <autoFilter ref="A3:F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2026-10-22T12:37:59Z</dcterms:created>
  <dcterms:modified xmlns:dcterms="http://purl.org/dc/terms/" xmlns:xsi="http://www.w3.org/2001/XMLSchema-instance" xsi:type="dcterms:W3CDTF">2026-10-22T13:03:04Z</dcterms:modified>
  <cp:revision>0</cp:revision>
</cp:coreProperties>
</file>