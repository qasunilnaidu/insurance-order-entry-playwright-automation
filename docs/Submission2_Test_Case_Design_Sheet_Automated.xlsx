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Coverage Summary" sheetId="3" state="visible" r:id="rId3"/>
    <sheet xmlns:r="http://schemas.openxmlformats.org/officeDocument/2006/relationships" name="Risk Traceability" sheetId="4" state="visible" r:id="rId4"/>
    <sheet xmlns:r="http://schemas.openxmlformats.org/officeDocument/2006/relationships" name="Validation ID Matrix" sheetId="5" state="visible" r:id="rId5"/>
    <sheet xmlns:r="http://schemas.openxmlformats.org/officeDocument/2006/relationships" name="Test Data" sheetId="6" state="visible" r:id="rId6"/>
    <sheet xmlns:r="http://schemas.openxmlformats.org/officeDocument/2006/relationships" name="Open Items" sheetId="7" state="visible" r:id="rId7"/>
    <sheet xmlns:r="http://schemas.openxmlformats.org/officeDocument/2006/relationships" name="Review Log" sheetId="8" state="visible" r:id="rId8"/>
  </sheets>
  <definedNames>
    <definedName name="_xlnm._FilterDatabase" localSheetId="1" hidden="1">'Test Cases'!$A$1:$X$124</definedName>
    <definedName name="_xlnm._FilterDatabase" localSheetId="4" hidden="1">'Validation ID Matrix'!$A$3:$E$72</definedName>
    <definedName name="_xlnm._FilterDatabase" localSheetId="7" hidden="1">'Review Log'!$A$3:$F$28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-mmm\-yyyy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DEBF7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bottom"/>
    </xf>
    <xf numFmtId="0" fontId="5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9" fontId="6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164" fontId="6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bottom"/>
    </xf>
    <xf numFmtId="0" fontId="5" fillId="3" borderId="1" applyAlignment="1" pivotButton="0" quotePrefix="0" xfId="0">
      <alignment horizontal="center" vertical="bottom"/>
    </xf>
    <xf numFmtId="9" fontId="6" fillId="0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B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2" min="1" max="1"/>
    <col width="110" customWidth="1" style="22" min="2" max="2"/>
  </cols>
  <sheetData>
    <row r="1" ht="17.35" customHeight="1" s="23">
      <c r="A1" s="24" t="inlineStr">
        <is>
          <t>Submission 2 - Test Case Design Sheet</t>
        </is>
      </c>
    </row>
    <row r="2" ht="15" customHeight="1" s="23">
      <c r="A2" s="25" t="inlineStr">
        <is>
          <t>Playwright QA Automation for Insurance Order Entry Platform</t>
        </is>
      </c>
    </row>
    <row r="4" ht="15" customHeight="1" s="23">
      <c r="A4" s="26" t="inlineStr">
        <is>
          <t>Purpose</t>
        </is>
      </c>
      <c r="B4" s="27" t="inlineStr">
        <is>
          <t>Converts the Submission 1 QA plan into detailed, traceable test cases for the Playwright automation build.</t>
        </is>
      </c>
    </row>
    <row r="5" ht="23.85" customHeight="1" s="23">
      <c r="A5" s="26" t="inlineStr">
        <is>
          <t>Sheets</t>
        </is>
      </c>
      <c r="B5" s="27" t="inlineStr">
        <is>
          <t>Test Cases (the design sheet) | Coverage Summary | Risk Traceability | Validation ID Matrix | Test Data | Open Items | Review Log (v2 reviewer findings)</t>
        </is>
      </c>
    </row>
    <row r="6" ht="15" customHeight="1" s="23">
      <c r="A6" s="26" t="inlineStr">
        <is>
          <t>Version</t>
        </is>
      </c>
      <c r="B6" s="27" t="inlineStr">
        <is>
          <t>v2 - reviewed against all Submission 2 documents; 32 cases and 3 columns added, 8 cases rewritten. See Review Log.</t>
        </is>
      </c>
    </row>
    <row r="7" ht="23.85" customHeight="1" s="23">
      <c r="A7" s="26" t="inlineStr">
        <is>
          <t>Columns follow</t>
        </is>
      </c>
      <c r="B7" s="27" t="inlineStr">
        <is>
          <t>Guideline section 5: ID/title, module and requirement/risk/defect link, preconditions, steps, expected result, severity/priority, evidence required, automation status.</t>
        </is>
      </c>
    </row>
    <row r="8" ht="23.85" customHeight="1" s="23">
      <c r="A8" s="26" t="inlineStr">
        <is>
          <t>Build Wave</t>
        </is>
      </c>
      <c r="B8" s="27" t="inlineStr">
        <is>
          <t>1 = smoke path and critical checks to automate first | 2 = core validations | 3 = extended coverage. The 'Short-Cohort Set' column (Y) marks the 30-35 test fallback.</t>
        </is>
      </c>
    </row>
    <row r="9" ht="23.85" customHeight="1" s="23">
      <c r="A9" s="26" t="inlineStr">
        <is>
          <t>Seeded defect links</t>
        </is>
      </c>
      <c r="B9" s="27" t="inlineStr">
        <is>
          <t>The seeded defect catalog was not supplied. Column G holds the defect class described in the problem statement; replace with catalog codes once available.</t>
        </is>
      </c>
    </row>
    <row r="10" ht="15" customHeight="1" s="23">
      <c r="A10" s="26" t="inlineStr">
        <is>
          <t>Placeholders</t>
        </is>
      </c>
      <c r="B10" s="27" t="inlineStr">
        <is>
          <t>'CONFIRM' marks values (limits, formats, counts) that must be verified in the running app. See Open Items.</t>
        </is>
      </c>
    </row>
    <row r="11" ht="15" customHeight="1" s="23">
      <c r="A11" s="26" t="inlineStr">
        <is>
          <t>Automation Status</t>
        </is>
      </c>
      <c r="B11" s="27" t="inlineStr">
        <is>
          <t>All cases start as 'Not started'. Update as specs are written (Automated / In progress / Blocked).</t>
        </is>
      </c>
    </row>
    <row r="12" ht="23.85" customHeight="1" s="23">
      <c r="A12" s="26" t="inlineStr">
        <is>
          <t>Extra columns</t>
        </is>
      </c>
      <c r="B12" s="27" t="inlineStr">
        <is>
          <t>Scenario Type (Positive/Negative/Boundary), Backend Cross-check (API/DB), Isolation / Cleanup (independence and shared-state notes).</t>
        </is>
      </c>
    </row>
    <row r="13" ht="15" customHeight="1" s="23">
      <c r="A13" s="26" t="inlineStr">
        <is>
          <t>Editable cells</t>
        </is>
      </c>
      <c r="B13" s="27" t="inlineStr">
        <is>
          <t>Yellow cells on Open Items, and the Automation Status / Execution Result / Notes columns on Test Cases.</t>
        </is>
      </c>
    </row>
    <row r="15" ht="15" customHeight="1" s="23">
      <c r="A15" s="25" t="inlineStr">
        <is>
          <t>Snapshot</t>
        </is>
      </c>
    </row>
    <row r="16" ht="15" customHeight="1" s="23">
      <c r="A16" s="28" t="inlineStr">
        <is>
          <t>Total test cases</t>
        </is>
      </c>
      <c r="B16" s="29">
        <f>COUNTA('Test Cases'!A2:A174)</f>
        <v/>
      </c>
    </row>
    <row r="17" ht="15" customHeight="1" s="23">
      <c r="A17" s="28" t="inlineStr">
        <is>
          <t>Critical severity</t>
        </is>
      </c>
      <c r="B17" s="29">
        <f>COUNTIF('Test Cases'!L2:L174,"Critical")</f>
        <v/>
      </c>
    </row>
    <row r="18" ht="15" customHeight="1" s="23">
      <c r="A18" s="28" t="inlineStr">
        <is>
          <t>P1 priority</t>
        </is>
      </c>
      <c r="B18" s="29">
        <f>COUNTIF('Test Cases'!M2:M174,"P1")</f>
        <v/>
      </c>
    </row>
    <row r="19" ht="15" customHeight="1" s="23">
      <c r="A19" s="28" t="inlineStr">
        <is>
          <t>Wave 1 (smoke)</t>
        </is>
      </c>
      <c r="B19" s="29">
        <f>COUNTIF('Test Cases'!N2:N174,1)</f>
        <v/>
      </c>
    </row>
    <row r="20" ht="15" customHeight="1" s="23">
      <c r="A20" s="28" t="inlineStr">
        <is>
          <t>Validation IDs covered</t>
        </is>
      </c>
      <c r="B20" s="29">
        <f>COUNTIF('Validation ID Matrix'!E4:E72,"Covered")&amp;" of "&amp;COUNTA('Validation ID Matrix'!A4:A72)</f>
        <v/>
      </c>
    </row>
    <row r="21" ht="15" customHeight="1" s="23">
      <c r="A21" s="28" t="inlineStr">
        <is>
          <t>Open items</t>
        </is>
      </c>
      <c r="B21" s="29">
        <f>COUNTIF('Open Items'!F4:F40,"Open")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X124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2" min="1" max="1"/>
    <col width="38" customWidth="1" style="22" min="2" max="2"/>
    <col width="18" customWidth="1" style="22" min="3" max="3"/>
    <col width="9" customWidth="1" style="22" min="4" max="4"/>
    <col width="18" customWidth="1" style="22" min="5" max="5"/>
    <col width="12" customWidth="1" style="22" min="6" max="6"/>
    <col width="28" customWidth="1" style="22" min="7" max="7"/>
    <col width="32" customWidth="1" style="22" min="8" max="8"/>
    <col width="48" customWidth="1" style="22" min="9" max="9"/>
    <col width="26" customWidth="1" style="22" min="10" max="10"/>
    <col width="42" customWidth="1" style="22" min="11" max="11"/>
    <col width="10" customWidth="1" style="22" min="12" max="12"/>
    <col width="9" customWidth="1" style="22" min="13" max="13"/>
    <col width="8" customWidth="1" style="22" min="14" max="14"/>
    <col width="22" customWidth="1" style="22" min="15" max="15"/>
    <col width="26" customWidth="1" style="22" min="16" max="16"/>
    <col width="14" customWidth="1" style="22" min="17" max="17"/>
    <col width="34" customWidth="1" style="22" min="18" max="18"/>
    <col width="12" customWidth="1" style="22" min="19" max="19"/>
    <col width="26" customWidth="1" style="22" min="20" max="20"/>
    <col width="11" customWidth="1" style="22" min="21" max="21"/>
    <col width="12" customWidth="1" style="22" min="22" max="22"/>
    <col width="32" customWidth="1" style="22" min="23" max="23"/>
    <col width="36" customWidth="1" style="22" min="24" max="24"/>
  </cols>
  <sheetData>
    <row r="1" ht="31.5" customHeight="1" s="23">
      <c r="A1" s="30" t="inlineStr">
        <is>
          <t>Test Case ID</t>
        </is>
      </c>
      <c r="B1" s="30" t="inlineStr">
        <is>
          <t>Title</t>
        </is>
      </c>
      <c r="C1" s="30" t="inlineStr">
        <is>
          <t>Module</t>
        </is>
      </c>
      <c r="D1" s="30" t="inlineStr">
        <is>
          <t>Test Type</t>
        </is>
      </c>
      <c r="E1" s="30" t="inlineStr">
        <is>
          <t>Requirement / Validation ID</t>
        </is>
      </c>
      <c r="F1" s="30" t="inlineStr">
        <is>
          <t>Risk ID (Sub 1)</t>
        </is>
      </c>
      <c r="G1" s="30" t="inlineStr">
        <is>
          <t>Seeded Defect / Risk Link</t>
        </is>
      </c>
      <c r="H1" s="30" t="inlineStr">
        <is>
          <t>Preconditions</t>
        </is>
      </c>
      <c r="I1" s="30" t="inlineStr">
        <is>
          <t>Test Steps</t>
        </is>
      </c>
      <c r="J1" s="30" t="inlineStr">
        <is>
          <t>Test Data</t>
        </is>
      </c>
      <c r="K1" s="30" t="inlineStr">
        <is>
          <t>Expected Result</t>
        </is>
      </c>
      <c r="L1" s="30" t="inlineStr">
        <is>
          <t>Severity</t>
        </is>
      </c>
      <c r="M1" s="30" t="inlineStr">
        <is>
          <t>Priority</t>
        </is>
      </c>
      <c r="N1" s="30" t="inlineStr">
        <is>
          <t>Build Wave</t>
        </is>
      </c>
      <c r="O1" s="30" t="inlineStr">
        <is>
          <t>Tags</t>
        </is>
      </c>
      <c r="P1" s="30" t="inlineStr">
        <is>
          <t>Evidence Required</t>
        </is>
      </c>
      <c r="Q1" s="30" t="inlineStr">
        <is>
          <t>Automation Status</t>
        </is>
      </c>
      <c r="R1" s="30" t="inlineStr">
        <is>
          <t>Planned Spec File</t>
        </is>
      </c>
      <c r="S1" s="30" t="inlineStr">
        <is>
          <t>Execution Result</t>
        </is>
      </c>
      <c r="T1" s="30" t="inlineStr">
        <is>
          <t>Notes / Confirm</t>
        </is>
      </c>
      <c r="U1" s="30" t="inlineStr">
        <is>
          <t>Short-Cohort Set</t>
        </is>
      </c>
      <c r="V1" s="30" t="inlineStr">
        <is>
          <t>Scenario Type</t>
        </is>
      </c>
      <c r="W1" s="30" t="inlineStr">
        <is>
          <t>Backend Cross-check (API/DB)</t>
        </is>
      </c>
      <c r="X1" s="30" t="inlineStr">
        <is>
          <t>Isolation / Cleanup</t>
        </is>
      </c>
    </row>
    <row r="2" ht="35.05" customHeight="1" s="23">
      <c r="A2" s="31" t="inlineStr">
        <is>
          <t>TC-AUTH-01</t>
        </is>
      </c>
      <c r="B2" s="32" t="inlineStr">
        <is>
          <t>Valid agent logs in and lands on dashboard</t>
        </is>
      </c>
      <c r="C2" s="32" t="inlineStr">
        <is>
          <t>Authentication</t>
        </is>
      </c>
      <c r="D2" s="31" t="inlineStr">
        <is>
          <t>UI</t>
        </is>
      </c>
      <c r="E2" s="32" t="inlineStr">
        <is>
          <t>AUTH-V01</t>
        </is>
      </c>
      <c r="F2" s="32" t="inlineStr">
        <is>
          <t>QR-01</t>
        </is>
      </c>
      <c r="G2" s="32" t="inlineStr">
        <is>
          <t>Valid agent cannot log in after auth change</t>
        </is>
      </c>
      <c r="H2" s="32" t="inlineStr">
        <is>
          <t>App reachable; valid agent seeded; no active session.</t>
        </is>
      </c>
      <c r="I2" s="32" t="inlineStr">
        <is>
          <t>1. Open /login.
2. Enter valid username and password.
3. Click Sign in.</t>
        </is>
      </c>
      <c r="J2" s="32" t="inlineStr">
        <is>
          <t>VALID_AGENT credentials from .env</t>
        </is>
      </c>
      <c r="K2" s="32" t="inlineStr">
        <is>
          <t>Redirected to /dashboard; URL ends with /dashboard; agent greeting/name visible; no error message.</t>
        </is>
      </c>
      <c r="L2" s="31" t="inlineStr">
        <is>
          <t>Critical</t>
        </is>
      </c>
      <c r="M2" s="31" t="inlineStr">
        <is>
          <t>P1</t>
        </is>
      </c>
      <c r="N2" s="31" t="n">
        <v>1</v>
      </c>
      <c r="O2" s="32" t="inlineStr">
        <is>
          <t>@smoke @regression auth</t>
        </is>
      </c>
      <c r="P2" s="32" t="inlineStr">
        <is>
          <t>Screenshot of dashboard; trace on retry</t>
        </is>
      </c>
      <c r="Q2" s="31" t="inlineStr">
        <is>
          <t>Automated</t>
        </is>
      </c>
      <c r="R2" s="32" t="inlineStr">
        <is>
          <t>tests/auth/login.spec.ts</t>
        </is>
      </c>
      <c r="S2" s="31" t="inlineStr">
        <is>
          <t>Not run</t>
        </is>
      </c>
      <c r="T2" s="32" t="n"/>
      <c r="U2" s="31" t="inlineStr">
        <is>
          <t>Y</t>
        </is>
      </c>
      <c r="V2" s="31" t="inlineStr">
        <is>
          <t>Positive</t>
        </is>
      </c>
      <c r="W2" s="32" t="inlineStr">
        <is>
          <t>API: POST /api/auth/login returns 200 + token/session</t>
        </is>
      </c>
      <c r="X2" s="32" t="inlineStr">
        <is>
          <t>Creates its own application via fixture (independent; unique generated data).</t>
        </is>
      </c>
    </row>
    <row r="3" ht="46.25" customHeight="1" s="23">
      <c r="A3" s="31" t="inlineStr">
        <is>
          <t>TC-AUTH-02</t>
        </is>
      </c>
      <c r="B3" s="32" t="inlineStr">
        <is>
          <t>Invalid password and unknown user show the same safe error and no session</t>
        </is>
      </c>
      <c r="C3" s="32" t="inlineStr">
        <is>
          <t>Authentication</t>
        </is>
      </c>
      <c r="D3" s="31" t="inlineStr">
        <is>
          <t>UI</t>
        </is>
      </c>
      <c r="E3" s="32" t="inlineStr">
        <is>
          <t>AUTH-V02</t>
        </is>
      </c>
      <c r="F3" s="32" t="inlineStr">
        <is>
          <t>QR-01</t>
        </is>
      </c>
      <c r="G3" s="32" t="inlineStr">
        <is>
          <t>Misleading login error message</t>
        </is>
      </c>
      <c r="H3" s="32" t="inlineStr">
        <is>
          <t>Valid agent exists; no session.</t>
        </is>
      </c>
      <c r="I3" s="32" t="inlineStr">
        <is>
          <t>1. Open /login.
2. Enter valid username with wrong password; submit.
3. Enter an unknown username with any password; submit.
4. Try opening /dashboard.</t>
        </is>
      </c>
      <c r="J3" s="32" t="inlineStr">
        <is>
          <t>VALID_AGENT username + 'Wrong#Pass1'; 'no.such.user' + 'Wrong#Pass1'</t>
        </is>
      </c>
      <c r="K3" s="32" t="inlineStr">
        <is>
          <t>Stays on /login; invalid-credentials message visible (not 'account locked'); /dashboard still redirects to /login.</t>
        </is>
      </c>
      <c r="L3" s="31" t="inlineStr">
        <is>
          <t>High</t>
        </is>
      </c>
      <c r="M3" s="31" t="inlineStr">
        <is>
          <t>P1</t>
        </is>
      </c>
      <c r="N3" s="31" t="n">
        <v>2</v>
      </c>
      <c r="O3" s="32" t="inlineStr">
        <is>
          <t>@regression auth</t>
        </is>
      </c>
      <c r="P3" s="32" t="inlineStr">
        <is>
          <t>Screenshot of error message</t>
        </is>
      </c>
      <c r="Q3" s="31" t="inlineStr">
        <is>
          <t>Automated</t>
        </is>
      </c>
      <c r="R3" s="32" t="inlineStr">
        <is>
          <t>tests/auth/login.spec.ts</t>
        </is>
      </c>
      <c r="S3" s="31" t="inlineStr">
        <is>
          <t>Not run</t>
        </is>
      </c>
      <c r="T3" s="32" t="n"/>
      <c r="U3" s="31" t="inlineStr">
        <is>
          <t>N</t>
        </is>
      </c>
      <c r="V3" s="31" t="inlineStr">
        <is>
          <t>Negative</t>
        </is>
      </c>
      <c r="W3" s="32" t="inlineStr">
        <is>
          <t>-</t>
        </is>
      </c>
      <c r="X3" s="32" t="inlineStr">
        <is>
          <t>Creates its own application via fixture (independent; unique generated data).</t>
        </is>
      </c>
    </row>
    <row r="4" ht="23.85" customHeight="1" s="23">
      <c r="A4" s="31" t="inlineStr">
        <is>
          <t>TC-AUTH-03</t>
        </is>
      </c>
      <c r="B4" s="32" t="inlineStr">
        <is>
          <t>Blank username and password show mandatory-field errors</t>
        </is>
      </c>
      <c r="C4" s="32" t="inlineStr">
        <is>
          <t>Authentication</t>
        </is>
      </c>
      <c r="D4" s="31" t="inlineStr">
        <is>
          <t>UI</t>
        </is>
      </c>
      <c r="E4" s="32" t="inlineStr">
        <is>
          <t>AUTH-V03</t>
        </is>
      </c>
      <c r="F4" s="32" t="inlineStr">
        <is>
          <t>QR-01</t>
        </is>
      </c>
      <c r="G4" s="32" t="inlineStr">
        <is>
          <t>Mandatory login validation missing</t>
        </is>
      </c>
      <c r="H4" s="32" t="inlineStr">
        <is>
          <t>On /login with empty form.</t>
        </is>
      </c>
      <c r="I4" s="32" t="inlineStr">
        <is>
          <t>1. Leave username and password empty.
2. Click Sign in.</t>
        </is>
      </c>
      <c r="J4" s="32" t="inlineStr">
        <is>
          <t>Empty values</t>
        </is>
      </c>
      <c r="K4" s="32" t="inlineStr">
        <is>
          <t>Field-level required errors on both fields; no request treated as successful; stays on /login.</t>
        </is>
      </c>
      <c r="L4" s="31" t="inlineStr">
        <is>
          <t>Medium</t>
        </is>
      </c>
      <c r="M4" s="31" t="inlineStr">
        <is>
          <t>P2</t>
        </is>
      </c>
      <c r="N4" s="31" t="n">
        <v>2</v>
      </c>
      <c r="O4" s="32" t="inlineStr">
        <is>
          <t>@regression auth</t>
        </is>
      </c>
      <c r="P4" s="32" t="inlineStr">
        <is>
          <t>Screenshot of field errors</t>
        </is>
      </c>
      <c r="Q4" s="31" t="inlineStr">
        <is>
          <t>Automated</t>
        </is>
      </c>
      <c r="R4" s="32" t="inlineStr">
        <is>
          <t>tests/auth/login.spec.ts</t>
        </is>
      </c>
      <c r="S4" s="31" t="inlineStr">
        <is>
          <t>Not run</t>
        </is>
      </c>
      <c r="T4" s="32" t="n"/>
      <c r="U4" s="31" t="inlineStr">
        <is>
          <t>N</t>
        </is>
      </c>
      <c r="V4" s="31" t="inlineStr">
        <is>
          <t>Negative</t>
        </is>
      </c>
      <c r="W4" s="32" t="inlineStr">
        <is>
          <t>-</t>
        </is>
      </c>
      <c r="X4" s="32" t="inlineStr">
        <is>
          <t>Creates its own application via fixture (independent; unique generated data).</t>
        </is>
      </c>
    </row>
    <row r="5" ht="46.25" customHeight="1" s="23">
      <c r="A5" s="31" t="inlineStr">
        <is>
          <t>TC-AUTH-04</t>
        </is>
      </c>
      <c r="B5" s="32" t="inlineStr">
        <is>
          <t>Logout clears session and protected routes redirect</t>
        </is>
      </c>
      <c r="C5" s="32" t="inlineStr">
        <is>
          <t>Authentication</t>
        </is>
      </c>
      <c r="D5" s="31" t="inlineStr">
        <is>
          <t>UI</t>
        </is>
      </c>
      <c r="E5" s="32" t="inlineStr">
        <is>
          <t>AUTH-V04</t>
        </is>
      </c>
      <c r="F5" s="32" t="inlineStr">
        <is>
          <t>QR-01</t>
        </is>
      </c>
      <c r="G5" s="32" t="inlineStr">
        <is>
          <t>No logout session clearing</t>
        </is>
      </c>
      <c r="H5" s="32" t="inlineStr">
        <is>
          <t>Logged in as valid agent.</t>
        </is>
      </c>
      <c r="I5" s="32" t="inlineStr">
        <is>
          <t>1. Click Logout.
2. Confirm redirect to /login.
3. Use browser Back.
4. Open /dashboard directly.</t>
        </is>
      </c>
      <c r="J5" s="32" t="inlineStr">
        <is>
          <t>VALID_AGENT</t>
        </is>
      </c>
      <c r="K5" s="32" t="inlineStr">
        <is>
          <t>Redirected to /login after logout; Back and direct /dashboard access redirect to /login; session cookie/token cleared.</t>
        </is>
      </c>
      <c r="L5" s="31" t="inlineStr">
        <is>
          <t>Critical</t>
        </is>
      </c>
      <c r="M5" s="31" t="inlineStr">
        <is>
          <t>P1</t>
        </is>
      </c>
      <c r="N5" s="31" t="n">
        <v>1</v>
      </c>
      <c r="O5" s="32" t="inlineStr">
        <is>
          <t>@smoke @regression auth</t>
        </is>
      </c>
      <c r="P5" s="32" t="inlineStr">
        <is>
          <t>Screenshot + cookie state note</t>
        </is>
      </c>
      <c r="Q5" s="31" t="inlineStr">
        <is>
          <t>Automated</t>
        </is>
      </c>
      <c r="R5" s="32" t="inlineStr">
        <is>
          <t>tests/auth/session.spec.ts</t>
        </is>
      </c>
      <c r="S5" s="31" t="inlineStr">
        <is>
          <t>Not run</t>
        </is>
      </c>
      <c r="T5" s="32" t="n"/>
      <c r="U5" s="31" t="inlineStr">
        <is>
          <t>Y</t>
        </is>
      </c>
      <c r="V5" s="31" t="inlineStr">
        <is>
          <t>Positive</t>
        </is>
      </c>
      <c r="W5" s="32" t="inlineStr">
        <is>
          <t>API: GET /api/applications returns 401 after logout</t>
        </is>
      </c>
      <c r="X5" s="32" t="inlineStr">
        <is>
          <t>Creates its own application via fixture (independent; unique generated data).</t>
        </is>
      </c>
    </row>
    <row r="6" ht="35.05" customHeight="1" s="23">
      <c r="A6" s="31" t="inlineStr">
        <is>
          <t>TC-AUTH-05</t>
        </is>
      </c>
      <c r="B6" s="32" t="inlineStr">
        <is>
          <t>Direct access to protected routes without login is blocked</t>
        </is>
      </c>
      <c r="C6" s="32" t="inlineStr">
        <is>
          <t>Authentication</t>
        </is>
      </c>
      <c r="D6" s="31" t="inlineStr">
        <is>
          <t>UI</t>
        </is>
      </c>
      <c r="E6" s="32" t="inlineStr">
        <is>
          <t>AUTH-V05</t>
        </is>
      </c>
      <c r="F6" s="32" t="inlineStr">
        <is>
          <t>QR-01</t>
        </is>
      </c>
      <c r="G6" s="32" t="inlineStr">
        <is>
          <t>Dashboard reachable without login</t>
        </is>
      </c>
      <c r="H6" s="32" t="inlineStr">
        <is>
          <t>Fresh browser context, no cookies.</t>
        </is>
      </c>
      <c r="I6" s="32" t="inlineStr">
        <is>
          <t>1. Open /dashboard in a fresh context.
2. Open /applications/new.
3. Open /applications/&lt;id&gt;/review.</t>
        </is>
      </c>
      <c r="J6" s="32" t="inlineStr">
        <is>
          <t>Seeded application id</t>
        </is>
      </c>
      <c r="K6" s="32" t="inlineStr">
        <is>
          <t>Each URL redirects to /login; no dashboard or application data is rendered.</t>
        </is>
      </c>
      <c r="L6" s="31" t="inlineStr">
        <is>
          <t>Critical</t>
        </is>
      </c>
      <c r="M6" s="31" t="inlineStr">
        <is>
          <t>P1</t>
        </is>
      </c>
      <c r="N6" s="31" t="n">
        <v>1</v>
      </c>
      <c r="O6" s="32" t="inlineStr">
        <is>
          <t>@smoke @regression auth</t>
        </is>
      </c>
      <c r="P6" s="32" t="inlineStr">
        <is>
          <t>Screenshot; URL assertion in trace</t>
        </is>
      </c>
      <c r="Q6" s="31" t="inlineStr">
        <is>
          <t>Automated</t>
        </is>
      </c>
      <c r="R6" s="32" t="inlineStr">
        <is>
          <t>tests/auth/session.spec.ts</t>
        </is>
      </c>
      <c r="S6" s="31" t="inlineStr">
        <is>
          <t>Not run</t>
        </is>
      </c>
      <c r="T6" s="32" t="n"/>
      <c r="U6" s="31" t="inlineStr">
        <is>
          <t>Y</t>
        </is>
      </c>
      <c r="V6" s="31" t="inlineStr">
        <is>
          <t>Negative</t>
        </is>
      </c>
      <c r="W6" s="32" t="inlineStr">
        <is>
          <t>-</t>
        </is>
      </c>
      <c r="X6" s="32" t="inlineStr">
        <is>
          <t>Creates its own application via fixture (independent; unique generated data).</t>
        </is>
      </c>
    </row>
    <row r="7" ht="46.25" customHeight="1" s="23">
      <c r="A7" s="31" t="inlineStr">
        <is>
          <t>TC-AUTH-06</t>
        </is>
      </c>
      <c r="B7" s="32" t="inlineStr">
        <is>
          <t>Locked user cannot access dashboard and sees accurate message</t>
        </is>
      </c>
      <c r="C7" s="32" t="inlineStr">
        <is>
          <t>Authentication</t>
        </is>
      </c>
      <c r="D7" s="31" t="inlineStr">
        <is>
          <t>UI</t>
        </is>
      </c>
      <c r="E7" s="32" t="inlineStr">
        <is>
          <t>AUTH-V06</t>
        </is>
      </c>
      <c r="F7" s="32" t="inlineStr">
        <is>
          <t>QR-01</t>
        </is>
      </c>
      <c r="G7" s="32" t="inlineStr">
        <is>
          <t>Misleading locked message</t>
        </is>
      </c>
      <c r="H7" s="32" t="inlineStr">
        <is>
          <t>Locked agent seeded.</t>
        </is>
      </c>
      <c r="I7" s="32" t="inlineStr">
        <is>
          <t>1. Open /login.
2. Enter locked agent credentials.
3. Click Sign in.
4. Open /dashboard.</t>
        </is>
      </c>
      <c r="J7" s="32" t="inlineStr">
        <is>
          <t>LOCKED_AGENT credentials</t>
        </is>
      </c>
      <c r="K7" s="32" t="inlineStr">
        <is>
          <t>Account-locked message shown (accurate wording); no session created; /dashboard redirects to /login.</t>
        </is>
      </c>
      <c r="L7" s="31" t="inlineStr">
        <is>
          <t>High</t>
        </is>
      </c>
      <c r="M7" s="31" t="inlineStr">
        <is>
          <t>P1</t>
        </is>
      </c>
      <c r="N7" s="31" t="n">
        <v>2</v>
      </c>
      <c r="O7" s="32" t="inlineStr">
        <is>
          <t>@regression auth</t>
        </is>
      </c>
      <c r="P7" s="32" t="inlineStr">
        <is>
          <t>Screenshot of locked message</t>
        </is>
      </c>
      <c r="Q7" s="31" t="inlineStr">
        <is>
          <t>Automated</t>
        </is>
      </c>
      <c r="R7" s="32" t="inlineStr">
        <is>
          <t>tests/auth/lockout.spec.ts</t>
        </is>
      </c>
      <c r="S7" s="31" t="inlineStr">
        <is>
          <t>Not run</t>
        </is>
      </c>
      <c r="T7" s="32" t="n"/>
      <c r="U7" s="31" t="inlineStr">
        <is>
          <t>N</t>
        </is>
      </c>
      <c r="V7" s="31" t="inlineStr">
        <is>
          <t>Negative</t>
        </is>
      </c>
      <c r="W7" s="32" t="inlineStr">
        <is>
          <t>-</t>
        </is>
      </c>
      <c r="X7" s="32" t="inlineStr">
        <is>
          <t>Read-only: uses seeded locked agent.</t>
        </is>
      </c>
    </row>
    <row r="8" ht="46.25" customHeight="1" s="23">
      <c r="A8" s="31" t="inlineStr">
        <is>
          <t>TC-AUTH-07</t>
        </is>
      </c>
      <c r="B8" s="32" t="inlineStr">
        <is>
          <t>Account locks after five failed login attempts</t>
        </is>
      </c>
      <c r="C8" s="32" t="inlineStr">
        <is>
          <t>Authentication</t>
        </is>
      </c>
      <c r="D8" s="31" t="inlineStr">
        <is>
          <t>UI</t>
        </is>
      </c>
      <c r="E8" s="32" t="inlineStr">
        <is>
          <t>AUTH-V07</t>
        </is>
      </c>
      <c r="F8" s="32" t="inlineStr">
        <is>
          <t>QR-01</t>
        </is>
      </c>
      <c r="G8" s="32" t="inlineStr">
        <is>
          <t>Lockout not enforced at 5 attempts</t>
        </is>
      </c>
      <c r="H8" s="32" t="inlineStr">
        <is>
          <t>Dedicated non-locked test agent reserved for this test (lock state persists).</t>
        </is>
      </c>
      <c r="I8" s="32" t="inlineStr">
        <is>
          <t>1. Submit wrong password 4 times; confirm normal invalid message each time.
2. Submit wrong password a 5th time.
3. Submit the CORRECT password.</t>
        </is>
      </c>
      <c r="J8" s="32" t="inlineStr">
        <is>
          <t>LOCKOUT_TEST_AGENT + wrong password</t>
        </is>
      </c>
      <c r="K8" s="32" t="inlineStr">
        <is>
          <t>After the 5th failure the account is locked; correct password is then rejected with locked message. Lock is NOT triggered on attempt 4.</t>
        </is>
      </c>
      <c r="L8" s="31" t="inlineStr">
        <is>
          <t>High</t>
        </is>
      </c>
      <c r="M8" s="31" t="inlineStr">
        <is>
          <t>P1</t>
        </is>
      </c>
      <c r="N8" s="31" t="n">
        <v>2</v>
      </c>
      <c r="O8" s="32" t="inlineStr">
        <is>
          <t>@regression auth</t>
        </is>
      </c>
      <c r="P8" s="32" t="inlineStr">
        <is>
          <t>Screenshots after attempt 4, 5 and correct-password try</t>
        </is>
      </c>
      <c r="Q8" s="31" t="inlineStr">
        <is>
          <t>Automated</t>
        </is>
      </c>
      <c r="R8" s="32" t="inlineStr">
        <is>
          <t>tests/auth/lockout.spec.ts</t>
        </is>
      </c>
      <c r="S8" s="31" t="inlineStr">
        <is>
          <t>Not run</t>
        </is>
      </c>
      <c r="T8" s="32" t="n"/>
      <c r="U8" s="31" t="inlineStr">
        <is>
          <t>Y</t>
        </is>
      </c>
      <c r="V8" s="31" t="inlineStr">
        <is>
          <t>Boundary</t>
        </is>
      </c>
      <c r="W8" s="32" t="inlineStr">
        <is>
          <t>DB (if approved): failed_attempts / locked flag</t>
        </is>
      </c>
      <c r="X8" s="32" t="inlineStr">
        <is>
          <t>Reserved LOCKOUT_TEST_AGENT; needs manual/admin unlock after run - run serially (workers=1 for this file).</t>
        </is>
      </c>
    </row>
    <row r="9" ht="46.25" customHeight="1" s="23">
      <c r="A9" s="31" t="inlineStr">
        <is>
          <t>TC-AUTH-08</t>
        </is>
      </c>
      <c r="B9" s="32" t="inlineStr">
        <is>
          <t>Weak password rejected during reset/change</t>
        </is>
      </c>
      <c r="C9" s="32" t="inlineStr">
        <is>
          <t>Authentication</t>
        </is>
      </c>
      <c r="D9" s="31" t="inlineStr">
        <is>
          <t>UI</t>
        </is>
      </c>
      <c r="E9" s="32" t="inlineStr">
        <is>
          <t>AUTH-V08</t>
        </is>
      </c>
      <c r="F9" s="32" t="inlineStr">
        <is>
          <t>QR-01</t>
        </is>
      </c>
      <c r="G9" s="32" t="inlineStr">
        <is>
          <t>Weak password accepted</t>
        </is>
      </c>
      <c r="H9" s="32" t="inlineStr">
        <is>
          <t>Reset/change password reachable (/forgot-password or profile).</t>
        </is>
      </c>
      <c r="I9" s="32" t="inlineStr">
        <is>
          <t>1. Start reset for a test agent.
2. Enter new password from weak set (short, no digit, no special, common word).
3. Submit.</t>
        </is>
      </c>
      <c r="J9" s="32" t="inlineStr">
        <is>
          <t>'abc', 'password', '12345678', 'Abcdefgh'</t>
        </is>
      </c>
      <c r="K9" s="32" t="inlineStr">
        <is>
          <t>Each weak value rejected with a clear policy message; password not changed (old password still works).</t>
        </is>
      </c>
      <c r="L9" s="31" t="inlineStr">
        <is>
          <t>High</t>
        </is>
      </c>
      <c r="M9" s="31" t="inlineStr">
        <is>
          <t>P1</t>
        </is>
      </c>
      <c r="N9" s="31" t="n">
        <v>2</v>
      </c>
      <c r="O9" s="32" t="inlineStr">
        <is>
          <t>@regression auth</t>
        </is>
      </c>
      <c r="P9" s="32" t="inlineStr">
        <is>
          <t>Screenshot per weak value</t>
        </is>
      </c>
      <c r="Q9" s="31" t="inlineStr">
        <is>
          <t>Automated</t>
        </is>
      </c>
      <c r="R9" s="32" t="inlineStr">
        <is>
          <t>tests/auth/password.spec.ts</t>
        </is>
      </c>
      <c r="S9" s="31" t="inlineStr">
        <is>
          <t>Not run</t>
        </is>
      </c>
      <c r="T9" s="32" t="n"/>
      <c r="U9" s="31" t="inlineStr">
        <is>
          <t>N</t>
        </is>
      </c>
      <c r="V9" s="31" t="inlineStr">
        <is>
          <t>Negative</t>
        </is>
      </c>
      <c r="W9" s="32" t="inlineStr">
        <is>
          <t>-</t>
        </is>
      </c>
      <c r="X9" s="32" t="inlineStr">
        <is>
          <t>Disposable agent; no password change persists on rejection.</t>
        </is>
      </c>
    </row>
    <row r="10" ht="35.05" customHeight="1" s="23">
      <c r="A10" s="31" t="inlineStr">
        <is>
          <t>TC-AUTH-09</t>
        </is>
      </c>
      <c r="B10" s="32" t="inlineStr">
        <is>
          <t>MFA agent completes login with simulated OTP</t>
        </is>
      </c>
      <c r="C10" s="32" t="inlineStr">
        <is>
          <t>Authentication</t>
        </is>
      </c>
      <c r="D10" s="31" t="inlineStr">
        <is>
          <t>UI</t>
        </is>
      </c>
      <c r="E10" s="32" t="inlineStr">
        <is>
          <t>Guideline: reset OTP / MFA</t>
        </is>
      </c>
      <c r="F10" s="32" t="inlineStr">
        <is>
          <t>QR-01</t>
        </is>
      </c>
      <c r="G10" s="32" t="inlineStr">
        <is>
          <t>MFA/OTP bypass or wrong-code acceptance</t>
        </is>
      </c>
      <c r="H10" s="32" t="inlineStr">
        <is>
          <t>MFA agent seeded; OTP value known/simulated.</t>
        </is>
      </c>
      <c r="I10" s="32" t="inlineStr">
        <is>
          <t>1. Login as MFA agent.
2. Enter wrong OTP, observe error.
3. Enter correct OTP.</t>
        </is>
      </c>
      <c r="J10" s="32" t="inlineStr">
        <is>
          <t>MFA_AGENT, OTP from .env (CONFIRM)</t>
        </is>
      </c>
      <c r="K10" s="32" t="inlineStr">
        <is>
          <t>Wrong OTP rejected; correct OTP reaches /dashboard.</t>
        </is>
      </c>
      <c r="L10" s="31" t="inlineStr">
        <is>
          <t>High</t>
        </is>
      </c>
      <c r="M10" s="31" t="inlineStr">
        <is>
          <t>P2</t>
        </is>
      </c>
      <c r="N10" s="31" t="n">
        <v>3</v>
      </c>
      <c r="O10" s="32" t="inlineStr">
        <is>
          <t>@regression auth</t>
        </is>
      </c>
      <c r="P10" s="32" t="inlineStr">
        <is>
          <t>Screenshots of OTP error and dashboard</t>
        </is>
      </c>
      <c r="Q10" s="31" t="inlineStr">
        <is>
          <t>Automated</t>
        </is>
      </c>
      <c r="R10" s="32" t="inlineStr">
        <is>
          <t>tests/auth/mfa.spec.ts</t>
        </is>
      </c>
      <c r="S10" s="31" t="inlineStr">
        <is>
          <t>Not run</t>
        </is>
      </c>
      <c r="T10" s="32" t="inlineStr">
        <is>
          <t>Exact value/rule to be confirmed from app (see Open Items).</t>
        </is>
      </c>
      <c r="U10" s="31" t="inlineStr">
        <is>
          <t>N</t>
        </is>
      </c>
      <c r="V10" s="31" t="inlineStr">
        <is>
          <t>Positive</t>
        </is>
      </c>
      <c r="W10" s="32" t="inlineStr">
        <is>
          <t>-</t>
        </is>
      </c>
      <c r="X10" s="32" t="inlineStr">
        <is>
          <t>Creates its own application via fixture (independent; unique generated data).</t>
        </is>
      </c>
    </row>
    <row r="11" ht="46.25" customHeight="1" s="23">
      <c r="A11" s="31" t="inlineStr">
        <is>
          <t>TC-AUTH-10</t>
        </is>
      </c>
      <c r="B11" s="32" t="inlineStr">
        <is>
          <t>Password reset via OTP succeeds with valid new password</t>
        </is>
      </c>
      <c r="C11" s="32" t="inlineStr">
        <is>
          <t>Authentication</t>
        </is>
      </c>
      <c r="D11" s="31" t="inlineStr">
        <is>
          <t>UI</t>
        </is>
      </c>
      <c r="E11" s="32" t="inlineStr">
        <is>
          <t>Guideline: reset OTP</t>
        </is>
      </c>
      <c r="F11" s="32" t="inlineStr">
        <is>
          <t>QR-01</t>
        </is>
      </c>
      <c r="G11" s="32" t="inlineStr">
        <is>
          <t>Reset OTP flow broken</t>
        </is>
      </c>
      <c r="H11" s="32" t="inlineStr">
        <is>
          <t>Disposable test agent; /forgot-password available.</t>
        </is>
      </c>
      <c r="I11" s="32" t="inlineStr">
        <is>
          <t>1. Open /forgot-password; enter username/email.
2. Enter simulated OTP.
3. Set compliant new password.
4. Login with new password.</t>
        </is>
      </c>
      <c r="J11" s="32" t="inlineStr">
        <is>
          <t>Reset test agent; strong password</t>
        </is>
      </c>
      <c r="K11" s="32" t="inlineStr">
        <is>
          <t>Reset completes; login with new password succeeds; old password no longer works.</t>
        </is>
      </c>
      <c r="L11" s="31" t="inlineStr">
        <is>
          <t>Medium</t>
        </is>
      </c>
      <c r="M11" s="31" t="inlineStr">
        <is>
          <t>P3</t>
        </is>
      </c>
      <c r="N11" s="31" t="n">
        <v>3</v>
      </c>
      <c r="O11" s="32" t="inlineStr">
        <is>
          <t>@regression auth</t>
        </is>
      </c>
      <c r="P11" s="32" t="inlineStr">
        <is>
          <t>Screenshots of each step</t>
        </is>
      </c>
      <c r="Q11" s="31" t="inlineStr">
        <is>
          <t>Automated</t>
        </is>
      </c>
      <c r="R11" s="32" t="inlineStr">
        <is>
          <t>tests/auth/password.spec.ts</t>
        </is>
      </c>
      <c r="S11" s="31" t="inlineStr">
        <is>
          <t>Not run</t>
        </is>
      </c>
      <c r="T11" s="32" t="n"/>
      <c r="U11" s="31" t="inlineStr">
        <is>
          <t>N</t>
        </is>
      </c>
      <c r="V11" s="31" t="inlineStr">
        <is>
          <t>Positive</t>
        </is>
      </c>
      <c r="W11" s="32" t="inlineStr">
        <is>
          <t>-</t>
        </is>
      </c>
      <c r="X11" s="32" t="inlineStr">
        <is>
          <t>Disposable reset agent; password restored in afterEach.</t>
        </is>
      </c>
    </row>
    <row r="12" ht="35.05" customHeight="1" s="23">
      <c r="A12" s="31" t="inlineStr">
        <is>
          <t>TC-AUTH-11</t>
        </is>
      </c>
      <c r="B12" s="32" t="inlineStr">
        <is>
          <t>Reusing the same password on reset is rejected</t>
        </is>
      </c>
      <c r="C12" s="32" t="inlineStr">
        <is>
          <t>Authentication</t>
        </is>
      </c>
      <c r="D12" s="31" t="inlineStr">
        <is>
          <t>UI</t>
        </is>
      </c>
      <c r="E12" s="32" t="inlineStr">
        <is>
          <t>Guideline: same password reuse</t>
        </is>
      </c>
      <c r="F12" s="32" t="inlineStr">
        <is>
          <t>QR-01</t>
        </is>
      </c>
      <c r="G12" s="32" t="inlineStr">
        <is>
          <t>Same-password reuse allowed</t>
        </is>
      </c>
      <c r="H12" s="32" t="inlineStr">
        <is>
          <t>Disposable test agent with known current password.</t>
        </is>
      </c>
      <c r="I12" s="32" t="inlineStr">
        <is>
          <t>1. Start password reset/change.
2. Enter new password identical to current password.
3. Submit.</t>
        </is>
      </c>
      <c r="J12" s="32" t="inlineStr">
        <is>
          <t>Current password</t>
        </is>
      </c>
      <c r="K12" s="32" t="inlineStr">
        <is>
          <t>Request rejected with a 'cannot reuse' message; password unchanged.</t>
        </is>
      </c>
      <c r="L12" s="31" t="inlineStr">
        <is>
          <t>Medium</t>
        </is>
      </c>
      <c r="M12" s="31" t="inlineStr">
        <is>
          <t>P3</t>
        </is>
      </c>
      <c r="N12" s="31" t="n">
        <v>3</v>
      </c>
      <c r="O12" s="32" t="inlineStr">
        <is>
          <t>@regression auth</t>
        </is>
      </c>
      <c r="P12" s="32" t="inlineStr">
        <is>
          <t>Screenshot of rejection</t>
        </is>
      </c>
      <c r="Q12" s="31" t="inlineStr">
        <is>
          <t>Automated</t>
        </is>
      </c>
      <c r="R12" s="32" t="inlineStr">
        <is>
          <t>tests/auth/password.spec.ts</t>
        </is>
      </c>
      <c r="S12" s="31" t="inlineStr">
        <is>
          <t>Not run</t>
        </is>
      </c>
      <c r="T12" s="32" t="n"/>
      <c r="U12" s="31" t="inlineStr">
        <is>
          <t>N</t>
        </is>
      </c>
      <c r="V12" s="31" t="inlineStr">
        <is>
          <t>Negative</t>
        </is>
      </c>
      <c r="W12" s="32" t="inlineStr">
        <is>
          <t>-</t>
        </is>
      </c>
      <c r="X12" s="32" t="inlineStr">
        <is>
          <t>Disposable reset agent; password restored in afterEach.</t>
        </is>
      </c>
    </row>
    <row r="13" ht="57.45" customHeight="1" s="23">
      <c r="A13" s="31" t="inlineStr">
        <is>
          <t>TC-AUTH-12</t>
        </is>
      </c>
      <c r="B13" s="32" t="inlineStr">
        <is>
          <t>Expired/timed-out session forces re-login without data exposure</t>
        </is>
      </c>
      <c r="C13" s="32" t="inlineStr">
        <is>
          <t>Authentication</t>
        </is>
      </c>
      <c r="D13" s="31" t="inlineStr">
        <is>
          <t>UI</t>
        </is>
      </c>
      <c r="E13" s="32" t="inlineStr">
        <is>
          <t>Spec: session timeout / Sub 1 path 'Session expiration'</t>
        </is>
      </c>
      <c r="F13" s="32" t="inlineStr">
        <is>
          <t>QR-01, QR-10</t>
        </is>
      </c>
      <c r="G13" s="32" t="inlineStr">
        <is>
          <t>Session not invalidated on timeout</t>
        </is>
      </c>
      <c r="H13" s="32" t="inlineStr">
        <is>
          <t>Logged in; session lifetime known (CONFIRM) or session cookie can be cleared/expired in the test.</t>
        </is>
      </c>
      <c r="I13" s="32" t="inlineStr">
        <is>
          <t>1. Login and open an application step with unsaved edits.
2. Expire the session (wait for timeout or delete/expire the session cookie via context).
3. Click Save or navigate to another step.
4. Re-login.</t>
        </is>
      </c>
      <c r="J13" s="32" t="inlineStr">
        <is>
          <t>VALID_AGENT</t>
        </is>
      </c>
      <c r="K13" s="32" t="inlineStr">
        <is>
          <t>User is redirected to /login; no protected data rendered; API calls return 401; after re-login the previously SAVED data is intact and unsaved edits are not silently stored.</t>
        </is>
      </c>
      <c r="L13" s="31" t="inlineStr">
        <is>
          <t>High</t>
        </is>
      </c>
      <c r="M13" s="31" t="inlineStr">
        <is>
          <t>P2</t>
        </is>
      </c>
      <c r="N13" s="31" t="n">
        <v>3</v>
      </c>
      <c r="O13" s="32" t="inlineStr">
        <is>
          <t>@regression auth</t>
        </is>
      </c>
      <c r="P13" s="32" t="inlineStr">
        <is>
          <t>Screenshot of redirect; network log showing 401</t>
        </is>
      </c>
      <c r="Q13" s="31" t="inlineStr">
        <is>
          <t>Automated</t>
        </is>
      </c>
      <c r="R13" s="32" t="inlineStr">
        <is>
          <t>tests/auth/session.spec.ts</t>
        </is>
      </c>
      <c r="S13" s="31" t="inlineStr">
        <is>
          <t>Not run</t>
        </is>
      </c>
      <c r="T13" s="32" t="inlineStr">
        <is>
          <t>Exact value/rule to be confirmed from app (see Open Items).</t>
        </is>
      </c>
      <c r="U13" s="31" t="inlineStr">
        <is>
          <t>N</t>
        </is>
      </c>
      <c r="V13" s="31" t="inlineStr">
        <is>
          <t>Negative</t>
        </is>
      </c>
      <c r="W13" s="32" t="inlineStr">
        <is>
          <t>-</t>
        </is>
      </c>
      <c r="X13" s="32" t="inlineStr">
        <is>
          <t>Creates its own application via fixture (independent; unique generated data).</t>
        </is>
      </c>
    </row>
    <row r="14" ht="35.05" customHeight="1" s="23">
      <c r="A14" s="31" t="inlineStr">
        <is>
          <t>TC-AUTH-13</t>
        </is>
      </c>
      <c r="B14" s="32" t="inlineStr">
        <is>
          <t>Pending (unapproved) agent cannot access the platform</t>
        </is>
      </c>
      <c r="C14" s="32" t="inlineStr">
        <is>
          <t>Authentication</t>
        </is>
      </c>
      <c r="D14" s="31" t="inlineStr">
        <is>
          <t>UI</t>
        </is>
      </c>
      <c r="E14" s="32" t="inlineStr">
        <is>
          <t>Spec: user type 'pending agent'</t>
        </is>
      </c>
      <c r="F14" s="32" t="inlineStr">
        <is>
          <t>QR-01</t>
        </is>
      </c>
      <c r="G14" s="32" t="inlineStr">
        <is>
          <t>Unapproved account gains access</t>
        </is>
      </c>
      <c r="H14" s="32" t="inlineStr">
        <is>
          <t>Pending agent seeded.</t>
        </is>
      </c>
      <c r="I14" s="32" t="inlineStr">
        <is>
          <t>1. Login with pending agent credentials.
2. Open /dashboard.</t>
        </is>
      </c>
      <c r="J14" s="32" t="inlineStr">
        <is>
          <t>PENDING_AGENT</t>
        </is>
      </c>
      <c r="K14" s="32" t="inlineStr">
        <is>
          <t>Access is denied with an accurate pending-approval message (behavior CONFIRM); no session granted; /dashboard redirects to /login.</t>
        </is>
      </c>
      <c r="L14" s="31" t="inlineStr">
        <is>
          <t>High</t>
        </is>
      </c>
      <c r="M14" s="31" t="inlineStr">
        <is>
          <t>P2</t>
        </is>
      </c>
      <c r="N14" s="31" t="n">
        <v>3</v>
      </c>
      <c r="O14" s="32" t="inlineStr">
        <is>
          <t>@regression auth</t>
        </is>
      </c>
      <c r="P14" s="32" t="inlineStr">
        <is>
          <t>Screenshot of message</t>
        </is>
      </c>
      <c r="Q14" s="31" t="inlineStr">
        <is>
          <t>Automated</t>
        </is>
      </c>
      <c r="R14" s="32" t="inlineStr">
        <is>
          <t>tests/auth/login.spec.ts</t>
        </is>
      </c>
      <c r="S14" s="31" t="inlineStr">
        <is>
          <t>Not run</t>
        </is>
      </c>
      <c r="T14" s="32" t="inlineStr">
        <is>
          <t>Exact value/rule to be confirmed from app (see Open Items).</t>
        </is>
      </c>
      <c r="U14" s="31" t="inlineStr">
        <is>
          <t>N</t>
        </is>
      </c>
      <c r="V14" s="31" t="inlineStr">
        <is>
          <t>Negative</t>
        </is>
      </c>
      <c r="W14" s="32" t="inlineStr">
        <is>
          <t>-</t>
        </is>
      </c>
      <c r="X14" s="32" t="inlineStr">
        <is>
          <t>Creates its own application via fixture (independent; unique generated data).</t>
        </is>
      </c>
    </row>
    <row r="15" ht="23.85" customHeight="1" s="23">
      <c r="A15" s="31" t="inlineStr">
        <is>
          <t>TC-DASH-01</t>
        </is>
      </c>
      <c r="B15" s="32" t="inlineStr">
        <is>
          <t>Dashboard shows summaries and New Application CTA after login</t>
        </is>
      </c>
      <c r="C15" s="32" t="inlineStr">
        <is>
          <t>Dashboard</t>
        </is>
      </c>
      <c r="D15" s="31" t="inlineStr">
        <is>
          <t>UI</t>
        </is>
      </c>
      <c r="E15" s="32" t="inlineStr">
        <is>
          <t>DASH-V01</t>
        </is>
      </c>
      <c r="F15" s="32" t="inlineStr">
        <is>
          <t>QR-02</t>
        </is>
      </c>
      <c r="G15" s="32" t="inlineStr">
        <is>
          <t>Dashboard summary missing/incorrect</t>
        </is>
      </c>
      <c r="H15" s="32" t="inlineStr">
        <is>
          <t>Logged in as valid agent with seeded applications.</t>
        </is>
      </c>
      <c r="I15" s="32" t="inlineStr">
        <is>
          <t>1. Login as valid agent.
2. Observe dashboard.</t>
        </is>
      </c>
      <c r="J15" s="32" t="inlineStr">
        <is>
          <t>VALID_AGENT</t>
        </is>
      </c>
      <c r="K15" s="32" t="inlineStr">
        <is>
          <t>Draft summary, submitted summary and 'New application' CTA are visible.</t>
        </is>
      </c>
      <c r="L15" s="31" t="inlineStr">
        <is>
          <t>High</t>
        </is>
      </c>
      <c r="M15" s="31" t="inlineStr">
        <is>
          <t>P1</t>
        </is>
      </c>
      <c r="N15" s="31" t="n">
        <v>1</v>
      </c>
      <c r="O15" s="32" t="inlineStr">
        <is>
          <t>@smoke @regression dashboard</t>
        </is>
      </c>
      <c r="P15" s="32" t="inlineStr">
        <is>
          <t>Screenshot of dashboard</t>
        </is>
      </c>
      <c r="Q15" s="31" t="inlineStr">
        <is>
          <t>Automated</t>
        </is>
      </c>
      <c r="R15" s="32" t="inlineStr">
        <is>
          <t>tests/dashboard/dashboard.spec.ts</t>
        </is>
      </c>
      <c r="S15" s="31" t="inlineStr">
        <is>
          <t>Not run</t>
        </is>
      </c>
      <c r="T15" s="32" t="n"/>
      <c r="U15" s="31" t="inlineStr">
        <is>
          <t>Y</t>
        </is>
      </c>
      <c r="V15" s="31" t="inlineStr">
        <is>
          <t>Positive</t>
        </is>
      </c>
      <c r="W15" s="32" t="inlineStr">
        <is>
          <t>-</t>
        </is>
      </c>
      <c r="X15" s="32" t="inlineStr">
        <is>
          <t>Creates its own application via fixture (independent; unique generated data).</t>
        </is>
      </c>
    </row>
    <row r="16" ht="35.05" customHeight="1" s="23">
      <c r="A16" s="31" t="inlineStr">
        <is>
          <t>TC-DASH-02</t>
        </is>
      </c>
      <c r="B16" s="32" t="inlineStr">
        <is>
          <t>Agent sees only own applications (UI isolation)</t>
        </is>
      </c>
      <c r="C16" s="32" t="inlineStr">
        <is>
          <t>Dashboard</t>
        </is>
      </c>
      <c r="D16" s="31" t="inlineStr">
        <is>
          <t>UI</t>
        </is>
      </c>
      <c r="E16" s="32" t="inlineStr">
        <is>
          <t>DASH-V02</t>
        </is>
      </c>
      <c r="F16" s="32" t="inlineStr">
        <is>
          <t>QR-02</t>
        </is>
      </c>
      <c r="G16" s="32" t="inlineStr">
        <is>
          <t>Agent sees other agents' applications</t>
        </is>
      </c>
      <c r="H16" s="32" t="inlineStr">
        <is>
          <t>Two valid agents each with distinct seeded applications.</t>
        </is>
      </c>
      <c r="I16" s="32" t="inlineStr">
        <is>
          <t>1. Login as agent A; record application IDs.
2. Logout; login as agent B; record IDs.
3. Compare lists.</t>
        </is>
      </c>
      <c r="J16" s="32" t="inlineStr">
        <is>
          <t>VALID_AGENT, SECOND_AGENT</t>
        </is>
      </c>
      <c r="K16" s="32" t="inlineStr">
        <is>
          <t>The two ID sets do not overlap; neither agent sees the other's applications.</t>
        </is>
      </c>
      <c r="L16" s="31" t="inlineStr">
        <is>
          <t>Critical</t>
        </is>
      </c>
      <c r="M16" s="31" t="inlineStr">
        <is>
          <t>P1</t>
        </is>
      </c>
      <c r="N16" s="31" t="n">
        <v>2</v>
      </c>
      <c r="O16" s="32" t="inlineStr">
        <is>
          <t>@regression dashboard</t>
        </is>
      </c>
      <c r="P16" s="32" t="inlineStr">
        <is>
          <t>Screenshots of both lists</t>
        </is>
      </c>
      <c r="Q16" s="31" t="inlineStr">
        <is>
          <t>Automated</t>
        </is>
      </c>
      <c r="R16" s="32" t="inlineStr">
        <is>
          <t>tests/dashboard/dashboard.spec.ts</t>
        </is>
      </c>
      <c r="S16" s="31" t="inlineStr">
        <is>
          <t>Not run</t>
        </is>
      </c>
      <c r="T16" s="32" t="n"/>
      <c r="U16" s="31" t="inlineStr">
        <is>
          <t>Y</t>
        </is>
      </c>
      <c r="V16" s="31" t="inlineStr">
        <is>
          <t>Negative</t>
        </is>
      </c>
      <c r="W16" s="32" t="inlineStr">
        <is>
          <t>-</t>
        </is>
      </c>
      <c r="X16" s="32" t="inlineStr">
        <is>
          <t>Read-only seeded applications of two agents.</t>
        </is>
      </c>
    </row>
    <row r="17" ht="23.85" customHeight="1" s="23">
      <c r="A17" s="31" t="inlineStr">
        <is>
          <t>TC-DASH-03</t>
        </is>
      </c>
      <c r="B17" s="32" t="inlineStr">
        <is>
          <t>New agent sees empty-state message and CTA</t>
        </is>
      </c>
      <c r="C17" s="32" t="inlineStr">
        <is>
          <t>Dashboard</t>
        </is>
      </c>
      <c r="D17" s="31" t="inlineStr">
        <is>
          <t>UI</t>
        </is>
      </c>
      <c r="E17" s="32" t="inlineStr">
        <is>
          <t>DASH-V03</t>
        </is>
      </c>
      <c r="F17" s="32" t="inlineStr">
        <is>
          <t>QR-02</t>
        </is>
      </c>
      <c r="G17" s="32" t="inlineStr">
        <is>
          <t>Empty state not handled</t>
        </is>
      </c>
      <c r="H17" s="32" t="inlineStr">
        <is>
          <t>New agent with zero applications.</t>
        </is>
      </c>
      <c r="I17" s="32" t="inlineStr">
        <is>
          <t>1. Login as new agent.</t>
        </is>
      </c>
      <c r="J17" s="32" t="inlineStr">
        <is>
          <t>NEW_AGENT</t>
        </is>
      </c>
      <c r="K17" s="32" t="inlineStr">
        <is>
          <t>Empty-state copy shown; CTA to start a new application visible; no rows rendered.</t>
        </is>
      </c>
      <c r="L17" s="31" t="inlineStr">
        <is>
          <t>Low</t>
        </is>
      </c>
      <c r="M17" s="31" t="inlineStr">
        <is>
          <t>P3</t>
        </is>
      </c>
      <c r="N17" s="31" t="n">
        <v>3</v>
      </c>
      <c r="O17" s="32" t="inlineStr">
        <is>
          <t>@regression dashboard</t>
        </is>
      </c>
      <c r="P17" s="32" t="inlineStr">
        <is>
          <t>Screenshot of empty state</t>
        </is>
      </c>
      <c r="Q17" s="31" t="inlineStr">
        <is>
          <t>Automated</t>
        </is>
      </c>
      <c r="R17" s="32" t="inlineStr">
        <is>
          <t>tests/dashboard/dashboard.spec.ts</t>
        </is>
      </c>
      <c r="S17" s="31" t="inlineStr">
        <is>
          <t>Not run</t>
        </is>
      </c>
      <c r="T17" s="32" t="n"/>
      <c r="U17" s="31" t="inlineStr">
        <is>
          <t>N</t>
        </is>
      </c>
      <c r="V17" s="31" t="inlineStr">
        <is>
          <t>Positive</t>
        </is>
      </c>
      <c r="W17" s="32" t="inlineStr">
        <is>
          <t>-</t>
        </is>
      </c>
      <c r="X17" s="32" t="inlineStr">
        <is>
          <t>Read-only: new agent has no applications.</t>
        </is>
      </c>
    </row>
    <row r="18" ht="23.85" customHeight="1" s="23">
      <c r="A18" s="31" t="inlineStr">
        <is>
          <t>TC-DASH-04</t>
        </is>
      </c>
      <c r="B18" s="32" t="inlineStr">
        <is>
          <t>Draft can be resumed with previously entered data</t>
        </is>
      </c>
      <c r="C18" s="32" t="inlineStr">
        <is>
          <t>Dashboard</t>
        </is>
      </c>
      <c r="D18" s="31" t="inlineStr">
        <is>
          <t>UI</t>
        </is>
      </c>
      <c r="E18" s="32" t="inlineStr">
        <is>
          <t>DASH-V04</t>
        </is>
      </c>
      <c r="F18" s="32" t="inlineStr">
        <is>
          <t>QR-02, QR-10</t>
        </is>
      </c>
      <c r="G18" s="32" t="inlineStr">
        <is>
          <t>Draft not resumable / not persisted</t>
        </is>
      </c>
      <c r="H18" s="32" t="inlineStr">
        <is>
          <t>Seeded draft application owned by valid agent (or created in test).</t>
        </is>
      </c>
      <c r="I18" s="32" t="inlineStr">
        <is>
          <t>1. From dashboard open the draft row.
2. Inspect the step and field values.</t>
        </is>
      </c>
      <c r="J18" s="32" t="inlineStr">
        <is>
          <t>Seeded draft id</t>
        </is>
      </c>
      <c r="K18" s="32" t="inlineStr">
        <is>
          <t>Application opens at the saved step; previously saved values are present and unchanged.</t>
        </is>
      </c>
      <c r="L18" s="31" t="inlineStr">
        <is>
          <t>High</t>
        </is>
      </c>
      <c r="M18" s="31" t="inlineStr">
        <is>
          <t>P1</t>
        </is>
      </c>
      <c r="N18" s="31" t="n">
        <v>2</v>
      </c>
      <c r="O18" s="32" t="inlineStr">
        <is>
          <t>@regression dashboard</t>
        </is>
      </c>
      <c r="P18" s="32" t="inlineStr">
        <is>
          <t>Screenshot of restored values</t>
        </is>
      </c>
      <c r="Q18" s="31" t="inlineStr">
        <is>
          <t>Automated</t>
        </is>
      </c>
      <c r="R18" s="32" t="inlineStr">
        <is>
          <t>tests/dashboard/dashboard.spec.ts</t>
        </is>
      </c>
      <c r="S18" s="31" t="inlineStr">
        <is>
          <t>Not run</t>
        </is>
      </c>
      <c r="T18" s="32" t="n"/>
      <c r="U18" s="31" t="inlineStr">
        <is>
          <t>N</t>
        </is>
      </c>
      <c r="V18" s="31" t="inlineStr">
        <is>
          <t>Positive</t>
        </is>
      </c>
      <c r="W18" s="32" t="inlineStr">
        <is>
          <t>API/DB: saved draft values</t>
        </is>
      </c>
      <c r="X18" s="32" t="inlineStr">
        <is>
          <t>Read-only seeded draft (or draft created by fixture).</t>
        </is>
      </c>
    </row>
    <row r="19" ht="35.05" customHeight="1" s="23">
      <c r="A19" s="31" t="inlineStr">
        <is>
          <t>TC-DASH-05</t>
        </is>
      </c>
      <c r="B19" s="32" t="inlineStr">
        <is>
          <t>Status filter returns correct rows (Draft/Submitted/Approved)</t>
        </is>
      </c>
      <c r="C19" s="32" t="inlineStr">
        <is>
          <t>Dashboard</t>
        </is>
      </c>
      <c r="D19" s="31" t="inlineStr">
        <is>
          <t>UI</t>
        </is>
      </c>
      <c r="E19" s="32" t="inlineStr">
        <is>
          <t>DASH-V05</t>
        </is>
      </c>
      <c r="F19" s="32" t="inlineStr">
        <is>
          <t>QR-02</t>
        </is>
      </c>
      <c r="G19" s="32" t="inlineStr">
        <is>
          <t>Filters return wrong rows</t>
        </is>
      </c>
      <c r="H19" s="32" t="inlineStr">
        <is>
          <t>Seeded draft, submitted and approved applications.</t>
        </is>
      </c>
      <c r="I19" s="32" t="inlineStr">
        <is>
          <t>1. Apply Draft filter; read rows.
2. Apply Submitted filter.
3. Apply Approved filter.</t>
        </is>
      </c>
      <c r="J19" s="32" t="inlineStr">
        <is>
          <t>Seeded applications of each status</t>
        </is>
      </c>
      <c r="K19" s="32" t="inlineStr">
        <is>
          <t>Each filter shows only rows of that status; counts match seed data.</t>
        </is>
      </c>
      <c r="L19" s="31" t="inlineStr">
        <is>
          <t>Medium</t>
        </is>
      </c>
      <c r="M19" s="31" t="inlineStr">
        <is>
          <t>P2</t>
        </is>
      </c>
      <c r="N19" s="31" t="n">
        <v>2</v>
      </c>
      <c r="O19" s="32" t="inlineStr">
        <is>
          <t>@regression dashboard</t>
        </is>
      </c>
      <c r="P19" s="32" t="inlineStr">
        <is>
          <t>Screenshot per filter</t>
        </is>
      </c>
      <c r="Q19" s="31" t="inlineStr">
        <is>
          <t>Automated</t>
        </is>
      </c>
      <c r="R19" s="32" t="inlineStr">
        <is>
          <t>tests/dashboard/dashboard.spec.ts</t>
        </is>
      </c>
      <c r="S19" s="31" t="inlineStr">
        <is>
          <t>Not run</t>
        </is>
      </c>
      <c r="T19" s="32" t="n"/>
      <c r="U19" s="31" t="inlineStr">
        <is>
          <t>N</t>
        </is>
      </c>
      <c r="V19" s="31" t="inlineStr">
        <is>
          <t>Positive</t>
        </is>
      </c>
      <c r="W19" s="32" t="inlineStr">
        <is>
          <t>-</t>
        </is>
      </c>
      <c r="X19" s="32" t="inlineStr">
        <is>
          <t>Read-only seeded applications of each status.</t>
        </is>
      </c>
    </row>
    <row r="20" ht="35.05" customHeight="1" s="23">
      <c r="A20" s="31" t="inlineStr">
        <is>
          <t>TC-DASH-06</t>
        </is>
      </c>
      <c r="B20" s="32" t="inlineStr">
        <is>
          <t>Dashboard status matches status API for each application (status endpoint)</t>
        </is>
      </c>
      <c r="C20" s="32" t="inlineStr">
        <is>
          <t>Dashboard</t>
        </is>
      </c>
      <c r="D20" s="31" t="inlineStr">
        <is>
          <t>UI</t>
        </is>
      </c>
      <c r="E20" s="32" t="inlineStr">
        <is>
          <t>DASH-V06</t>
        </is>
      </c>
      <c r="F20" s="32" t="inlineStr">
        <is>
          <t>QR-02, QR-09</t>
        </is>
      </c>
      <c r="G20" s="32" t="inlineStr">
        <is>
          <t>Dashboard status differs from backend</t>
        </is>
      </c>
      <c r="H20" s="32" t="inlineStr">
        <is>
          <t>Valid agent logged in; session available to request context.</t>
        </is>
      </c>
      <c r="I20" s="32" t="inlineStr">
        <is>
          <t>1. Read each dashboard row id + status.
2. Call GET /api/applications/{id}/status for each.
3. Compare.</t>
        </is>
      </c>
      <c r="J20" s="32" t="inlineStr">
        <is>
          <t>Seeded applications</t>
        </is>
      </c>
      <c r="K20" s="32" t="inlineStr">
        <is>
          <t>Every UI status equals API status.</t>
        </is>
      </c>
      <c r="L20" s="31" t="inlineStr">
        <is>
          <t>High</t>
        </is>
      </c>
      <c r="M20" s="31" t="inlineStr">
        <is>
          <t>P1</t>
        </is>
      </c>
      <c r="N20" s="31" t="n">
        <v>2</v>
      </c>
      <c r="O20" s="32" t="inlineStr">
        <is>
          <t>@regression dashboard @api</t>
        </is>
      </c>
      <c r="P20" s="32" t="inlineStr">
        <is>
          <t>Table of UI vs API values in test log</t>
        </is>
      </c>
      <c r="Q20" s="31" t="inlineStr">
        <is>
          <t>Automated</t>
        </is>
      </c>
      <c r="R20" s="32" t="inlineStr">
        <is>
          <t>tests/dashboard/dashboard-api.spec.ts</t>
        </is>
      </c>
      <c r="S20" s="31" t="inlineStr">
        <is>
          <t>Not run</t>
        </is>
      </c>
      <c r="T20" s="32" t="n"/>
      <c r="U20" s="31" t="inlineStr">
        <is>
          <t>N</t>
        </is>
      </c>
      <c r="V20" s="31" t="inlineStr">
        <is>
          <t>Positive</t>
        </is>
      </c>
      <c r="W20" s="32" t="inlineStr">
        <is>
          <t>API: GET /api/applications/{id}/status</t>
        </is>
      </c>
      <c r="X20" s="32" t="inlineStr">
        <is>
          <t>Creates its own application via fixture (independent; unique generated data).</t>
        </is>
      </c>
    </row>
    <row r="21" ht="46.25" customHeight="1" s="23">
      <c r="A21" s="31" t="inlineStr">
        <is>
          <t>TC-DASH-07</t>
        </is>
      </c>
      <c r="B21" s="32" t="inlineStr">
        <is>
          <t>Dashboard search finds an application by name/reference</t>
        </is>
      </c>
      <c r="C21" s="32" t="inlineStr">
        <is>
          <t>Dashboard</t>
        </is>
      </c>
      <c r="D21" s="31" t="inlineStr">
        <is>
          <t>UI</t>
        </is>
      </c>
      <c r="E21" s="32" t="inlineStr">
        <is>
          <t>Spec: dashboard search</t>
        </is>
      </c>
      <c r="F21" s="32" t="inlineStr">
        <is>
          <t>QR-02</t>
        </is>
      </c>
      <c r="G21" s="32" t="inlineStr">
        <is>
          <t>Search returns wrong rows</t>
        </is>
      </c>
      <c r="H21" s="32" t="inlineStr">
        <is>
          <t>Seeded applications with distinct client names/references.</t>
        </is>
      </c>
      <c r="I21" s="32" t="inlineStr">
        <is>
          <t>1. Search by a known client name.
2. Search by a known reference/ID.
3. Search for a non-existent term.
4. Clear search.</t>
        </is>
      </c>
      <c r="J21" s="32" t="inlineStr">
        <is>
          <t>Seeded names/references</t>
        </is>
      </c>
      <c r="K21" s="32" t="inlineStr">
        <is>
          <t>Matching rows only for 1 and 2; empty-result message for 3; full list restored after 4.</t>
        </is>
      </c>
      <c r="L21" s="31" t="inlineStr">
        <is>
          <t>Medium</t>
        </is>
      </c>
      <c r="M21" s="31" t="inlineStr">
        <is>
          <t>P2</t>
        </is>
      </c>
      <c r="N21" s="31" t="n">
        <v>3</v>
      </c>
      <c r="O21" s="32" t="inlineStr">
        <is>
          <t>@regression dashboard</t>
        </is>
      </c>
      <c r="P21" s="32" t="inlineStr">
        <is>
          <t>Screenshots of each result state</t>
        </is>
      </c>
      <c r="Q21" s="31" t="inlineStr">
        <is>
          <t>Automated</t>
        </is>
      </c>
      <c r="R21" s="32" t="inlineStr">
        <is>
          <t>tests/dashboard/dashboard.spec.ts</t>
        </is>
      </c>
      <c r="S21" s="31" t="inlineStr">
        <is>
          <t>Not run</t>
        </is>
      </c>
      <c r="T21" s="32" t="n"/>
      <c r="U21" s="31" t="inlineStr">
        <is>
          <t>N</t>
        </is>
      </c>
      <c r="V21" s="31" t="inlineStr">
        <is>
          <t>Positive</t>
        </is>
      </c>
      <c r="W21" s="32" t="inlineStr">
        <is>
          <t>-</t>
        </is>
      </c>
      <c r="X21" s="32" t="inlineStr">
        <is>
          <t>Creates its own application via fixture (independent; unique generated data).</t>
        </is>
      </c>
    </row>
    <row r="22" ht="23.85" customHeight="1" s="23">
      <c r="A22" s="31" t="inlineStr">
        <is>
          <t>TC-DASH-08</t>
        </is>
      </c>
      <c r="B22" s="32" t="inlineStr">
        <is>
          <t>Agent cannot open another agent's application by direct URL</t>
        </is>
      </c>
      <c r="C22" s="32" t="inlineStr">
        <is>
          <t>Dashboard</t>
        </is>
      </c>
      <c r="D22" s="31" t="inlineStr">
        <is>
          <t>UI</t>
        </is>
      </c>
      <c r="E22" s="32" t="inlineStr">
        <is>
          <t>Risk QR-02 (isolation)</t>
        </is>
      </c>
      <c r="F22" s="32" t="inlineStr">
        <is>
          <t>QR-02, QR-01</t>
        </is>
      </c>
      <c r="G22" s="32" t="inlineStr">
        <is>
          <t>Agent sees other agents' applications</t>
        </is>
      </c>
      <c r="H22" s="32" t="inlineStr">
        <is>
          <t>Application id owned by agent A; agent B logged in.</t>
        </is>
      </c>
      <c r="I22" s="32" t="inlineStr">
        <is>
          <t>1. As agent B open /applications/&lt;A's id&gt;.
2. Open /applications/&lt;A's id&gt;/review and /status.</t>
        </is>
      </c>
      <c r="J22" s="32" t="inlineStr">
        <is>
          <t>SECOND_AGENT + VALID_AGENT application id</t>
        </is>
      </c>
      <c r="K22" s="32" t="inlineStr">
        <is>
          <t>Access denied (403/404 page or redirect); no data of agent A is rendered on any of the three routes.</t>
        </is>
      </c>
      <c r="L22" s="31" t="inlineStr">
        <is>
          <t>Critical</t>
        </is>
      </c>
      <c r="M22" s="31" t="inlineStr">
        <is>
          <t>P1</t>
        </is>
      </c>
      <c r="N22" s="31" t="n">
        <v>2</v>
      </c>
      <c r="O22" s="32" t="inlineStr">
        <is>
          <t>@regression dashboard auth</t>
        </is>
      </c>
      <c r="P22" s="32" t="inlineStr">
        <is>
          <t>Screenshots + network status codes</t>
        </is>
      </c>
      <c r="Q22" s="31" t="inlineStr">
        <is>
          <t>Automated</t>
        </is>
      </c>
      <c r="R22" s="32" t="inlineStr">
        <is>
          <t>tests/dashboard/isolation.spec.ts</t>
        </is>
      </c>
      <c r="S22" s="31" t="inlineStr">
        <is>
          <t>Not run</t>
        </is>
      </c>
      <c r="T22" s="32" t="n"/>
      <c r="U22" s="31" t="inlineStr">
        <is>
          <t>Y</t>
        </is>
      </c>
      <c r="V22" s="31" t="inlineStr">
        <is>
          <t>Negative</t>
        </is>
      </c>
      <c r="W22" s="32" t="inlineStr">
        <is>
          <t>API: GET /api/applications/{otherId} returns 403/404</t>
        </is>
      </c>
      <c r="X22" s="32" t="inlineStr">
        <is>
          <t>Creates its own application via fixture (independent; unique generated data).</t>
        </is>
      </c>
    </row>
    <row r="23" ht="23.85" customHeight="1" s="23">
      <c r="A23" s="31" t="inlineStr">
        <is>
          <t>TC-DASH-09</t>
        </is>
      </c>
      <c r="B23" s="32" t="inlineStr">
        <is>
          <t>Profile and Support pages load for a logged-in agent and are protected when logged out</t>
        </is>
      </c>
      <c r="C23" s="32" t="inlineStr">
        <is>
          <t>Dashboard</t>
        </is>
      </c>
      <c r="D23" s="31" t="inlineStr">
        <is>
          <t>UI</t>
        </is>
      </c>
      <c r="E23" s="32" t="inlineStr">
        <is>
          <t>Routes /profile, /support</t>
        </is>
      </c>
      <c r="F23" s="32" t="inlineStr">
        <is>
          <t>QR-01</t>
        </is>
      </c>
      <c r="G23" s="32" t="inlineStr">
        <is>
          <t>Support/profile route unprotected or broken</t>
        </is>
      </c>
      <c r="H23" s="32" t="inlineStr">
        <is>
          <t>Valid agent; fresh context for the logged-out part.</t>
        </is>
      </c>
      <c r="I23" s="32" t="inlineStr">
        <is>
          <t>1. Login; open /profile and /support.
2. In a fresh context open both URLs.</t>
        </is>
      </c>
      <c r="J23" s="32" t="inlineStr">
        <is>
          <t>VALID_AGENT</t>
        </is>
      </c>
      <c r="K23" s="32" t="inlineStr">
        <is>
          <t>Both pages render for the logged-in agent; logged-out access redirects to /login.</t>
        </is>
      </c>
      <c r="L23" s="31" t="inlineStr">
        <is>
          <t>Low</t>
        </is>
      </c>
      <c r="M23" s="31" t="inlineStr">
        <is>
          <t>P3</t>
        </is>
      </c>
      <c r="N23" s="31" t="n">
        <v>3</v>
      </c>
      <c r="O23" s="32" t="inlineStr">
        <is>
          <t>@regression dashboard auth</t>
        </is>
      </c>
      <c r="P23" s="32" t="inlineStr">
        <is>
          <t>Screenshots</t>
        </is>
      </c>
      <c r="Q23" s="31" t="inlineStr">
        <is>
          <t>Automated</t>
        </is>
      </c>
      <c r="R23" s="32" t="inlineStr">
        <is>
          <t>tests/dashboard/dashboard.spec.ts</t>
        </is>
      </c>
      <c r="S23" s="31" t="inlineStr">
        <is>
          <t>Not run</t>
        </is>
      </c>
      <c r="T23" s="32" t="n"/>
      <c r="U23" s="31" t="inlineStr">
        <is>
          <t>N</t>
        </is>
      </c>
      <c r="V23" s="31" t="inlineStr">
        <is>
          <t>Positive</t>
        </is>
      </c>
      <c r="W23" s="32" t="inlineStr">
        <is>
          <t>-</t>
        </is>
      </c>
      <c r="X23" s="32" t="inlineStr">
        <is>
          <t>Creates its own application via fixture (independent; unique generated data).</t>
        </is>
      </c>
    </row>
    <row r="24" ht="35.05" customHeight="1" s="23">
      <c r="A24" s="31" t="inlineStr">
        <is>
          <t>TC-CLI-01</t>
        </is>
      </c>
      <c r="B24" s="32" t="inlineStr">
        <is>
          <t>Valid insured personal information is saved and Next is enabled</t>
        </is>
      </c>
      <c r="C24" s="32" t="inlineStr">
        <is>
          <t>Client Information</t>
        </is>
      </c>
      <c r="D24" s="31" t="inlineStr">
        <is>
          <t>UI</t>
        </is>
      </c>
      <c r="E24" s="32" t="inlineStr">
        <is>
          <t>CLI-V01</t>
        </is>
      </c>
      <c r="F24" s="32" t="inlineStr">
        <is>
          <t>QR-03, QR-10</t>
        </is>
      </c>
      <c r="G24" s="32" t="inlineStr">
        <is>
          <t>Valid data blocks progression</t>
        </is>
      </c>
      <c r="H24" s="32" t="inlineStr">
        <is>
          <t>Logged in; new application started.</t>
        </is>
      </c>
      <c r="I24" s="32" t="inlineStr">
        <is>
          <t>1. Fill all mandatory client fields with valid data.
2. Click Save/Next.
3. Return to the step.</t>
        </is>
      </c>
      <c r="J24" s="32" t="inlineStr">
        <is>
          <t>Generated client (age 40)</t>
        </is>
      </c>
      <c r="K24" s="32" t="inlineStr">
        <is>
          <t>Next step becomes enabled; saved values persist when step is revisited.</t>
        </is>
      </c>
      <c r="L24" s="31" t="inlineStr">
        <is>
          <t>High</t>
        </is>
      </c>
      <c r="M24" s="31" t="inlineStr">
        <is>
          <t>P1</t>
        </is>
      </c>
      <c r="N24" s="31" t="n">
        <v>1</v>
      </c>
      <c r="O24" s="32" t="inlineStr">
        <is>
          <t>@smoke @regression client</t>
        </is>
      </c>
      <c r="P24" s="32" t="inlineStr">
        <is>
          <t>Screenshot of filled form + revisit</t>
        </is>
      </c>
      <c r="Q24" s="31" t="inlineStr">
        <is>
          <t>Automated</t>
        </is>
      </c>
      <c r="R24" s="32" t="inlineStr">
        <is>
          <t>tests/client-information/client.spec.ts</t>
        </is>
      </c>
      <c r="S24" s="31" t="inlineStr">
        <is>
          <t>Not run</t>
        </is>
      </c>
      <c r="T24" s="32" t="n"/>
      <c r="U24" s="31" t="inlineStr">
        <is>
          <t>Y</t>
        </is>
      </c>
      <c r="V24" s="31" t="inlineStr">
        <is>
          <t>Positive</t>
        </is>
      </c>
      <c r="W24" s="32" t="inlineStr">
        <is>
          <t>API: GET client returns saved values</t>
        </is>
      </c>
      <c r="X24" s="32" t="inlineStr">
        <is>
          <t>Creates its own application via fixture (independent; unique generated data).</t>
        </is>
      </c>
    </row>
    <row r="25" ht="46.25" customHeight="1" s="23">
      <c r="A25" s="31" t="inlineStr">
        <is>
          <t>TC-CLI-02</t>
        </is>
      </c>
      <c r="B25" s="32" t="inlineStr">
        <is>
          <t>Mandatory personal fields show inline errors</t>
        </is>
      </c>
      <c r="C25" s="32" t="inlineStr">
        <is>
          <t>Client Information</t>
        </is>
      </c>
      <c r="D25" s="31" t="inlineStr">
        <is>
          <t>UI</t>
        </is>
      </c>
      <c r="E25" s="32" t="inlineStr">
        <is>
          <t>CLI-V02</t>
        </is>
      </c>
      <c r="F25" s="32" t="inlineStr">
        <is>
          <t>QR-03</t>
        </is>
      </c>
      <c r="G25" s="32" t="inlineStr">
        <is>
          <t>Mandatory fields skipped</t>
        </is>
      </c>
      <c r="H25" s="32" t="inlineStr">
        <is>
          <t>On Client step with empty form.</t>
        </is>
      </c>
      <c r="I25" s="32" t="inlineStr">
        <is>
          <t>1. Leave name, DOB, gender, marital status, nationality, occupation, employer blank.
2. Click Next.</t>
        </is>
      </c>
      <c r="J25" s="32" t="inlineStr">
        <is>
          <t>Empty form</t>
        </is>
      </c>
      <c r="K25" s="32" t="inlineStr">
        <is>
          <t>Each required field shows an inline error; progression blocked.
Also verify: the rejected value is not saved (reload or GET shows the previous/empty value).</t>
        </is>
      </c>
      <c r="L25" s="31" t="inlineStr">
        <is>
          <t>High</t>
        </is>
      </c>
      <c r="M25" s="31" t="inlineStr">
        <is>
          <t>P1</t>
        </is>
      </c>
      <c r="N25" s="31" t="n">
        <v>2</v>
      </c>
      <c r="O25" s="32" t="inlineStr">
        <is>
          <t>@regression client</t>
        </is>
      </c>
      <c r="P25" s="32" t="inlineStr">
        <is>
          <t>Screenshot of errors</t>
        </is>
      </c>
      <c r="Q25" s="31" t="inlineStr">
        <is>
          <t>Automated</t>
        </is>
      </c>
      <c r="R25" s="32" t="inlineStr">
        <is>
          <t>tests/client-information/client.spec.ts</t>
        </is>
      </c>
      <c r="S25" s="31" t="inlineStr">
        <is>
          <t>Not run</t>
        </is>
      </c>
      <c r="T25" s="32" t="n"/>
      <c r="U25" s="31" t="inlineStr">
        <is>
          <t>N</t>
        </is>
      </c>
      <c r="V25" s="31" t="inlineStr">
        <is>
          <t>Negative</t>
        </is>
      </c>
      <c r="W25" s="32" t="inlineStr">
        <is>
          <t>-</t>
        </is>
      </c>
      <c r="X25" s="32" t="inlineStr">
        <is>
          <t>Creates its own application via fixture (independent; unique generated data).</t>
        </is>
      </c>
    </row>
    <row r="26" ht="35.05" customHeight="1" s="23">
      <c r="A26" s="31" t="inlineStr">
        <is>
          <t>TC-CLI-03</t>
        </is>
      </c>
      <c r="B26" s="32" t="inlineStr">
        <is>
          <t>DOB making client under 18 is rejected</t>
        </is>
      </c>
      <c r="C26" s="32" t="inlineStr">
        <is>
          <t>Client Information</t>
        </is>
      </c>
      <c r="D26" s="31" t="inlineStr">
        <is>
          <t>UI</t>
        </is>
      </c>
      <c r="E26" s="32" t="inlineStr">
        <is>
          <t>CLI-V03</t>
        </is>
      </c>
      <c r="F26" s="32" t="inlineStr">
        <is>
          <t>QR-03</t>
        </is>
      </c>
      <c r="G26" s="32" t="inlineStr">
        <is>
          <t>Age eligibility rule missed</t>
        </is>
      </c>
      <c r="H26" s="32" t="inlineStr">
        <is>
          <t>On Client step.</t>
        </is>
      </c>
      <c r="I26" s="32" t="inlineStr">
        <is>
          <t>1. Enter DOB = today minus 18 years plus 1 day (17y 364d).
2. Attempt to proceed.</t>
        </is>
      </c>
      <c r="J26" s="32" t="inlineStr">
        <is>
          <t>DOB 17y364d</t>
        </is>
      </c>
      <c r="K26" s="32" t="inlineStr">
        <is>
          <t>Eligibility error displayed; progression blocked.
Also verify: the rejected value is not saved (reload or GET shows the previous/empty value).</t>
        </is>
      </c>
      <c r="L26" s="31" t="inlineStr">
        <is>
          <t>Critical</t>
        </is>
      </c>
      <c r="M26" s="31" t="inlineStr">
        <is>
          <t>P1</t>
        </is>
      </c>
      <c r="N26" s="31" t="n">
        <v>2</v>
      </c>
      <c r="O26" s="32" t="inlineStr">
        <is>
          <t>@regression client</t>
        </is>
      </c>
      <c r="P26" s="32" t="inlineStr">
        <is>
          <t>Screenshot of error</t>
        </is>
      </c>
      <c r="Q26" s="31" t="inlineStr">
        <is>
          <t>Automated</t>
        </is>
      </c>
      <c r="R26" s="32" t="inlineStr">
        <is>
          <t>tests/client-information/dob.spec.ts</t>
        </is>
      </c>
      <c r="S26" s="31" t="inlineStr">
        <is>
          <t>Not run</t>
        </is>
      </c>
      <c r="T26" s="32" t="n"/>
      <c r="U26" s="31" t="inlineStr">
        <is>
          <t>Y</t>
        </is>
      </c>
      <c r="V26" s="31" t="inlineStr">
        <is>
          <t>Boundary</t>
        </is>
      </c>
      <c r="W26" s="32" t="inlineStr">
        <is>
          <t>API: POST client rejects the same DOB (see TC-API-15)</t>
        </is>
      </c>
      <c r="X26" s="32" t="inlineStr">
        <is>
          <t>Creates its own application via fixture (independent; unique generated data).</t>
        </is>
      </c>
    </row>
    <row r="27" ht="35.05" customHeight="1" s="23">
      <c r="A27" s="31" t="inlineStr">
        <is>
          <t>TC-CLI-04</t>
        </is>
      </c>
      <c r="B27" s="32" t="inlineStr">
        <is>
          <t>DOB making client over 65 is rejected</t>
        </is>
      </c>
      <c r="C27" s="32" t="inlineStr">
        <is>
          <t>Client Information</t>
        </is>
      </c>
      <c r="D27" s="31" t="inlineStr">
        <is>
          <t>UI</t>
        </is>
      </c>
      <c r="E27" s="32" t="inlineStr">
        <is>
          <t>CLI-V04</t>
        </is>
      </c>
      <c r="F27" s="32" t="inlineStr">
        <is>
          <t>QR-03</t>
        </is>
      </c>
      <c r="G27" s="32" t="inlineStr">
        <is>
          <t>Age eligibility rule missed</t>
        </is>
      </c>
      <c r="H27" s="32" t="inlineStr">
        <is>
          <t>On Client step.</t>
        </is>
      </c>
      <c r="I27" s="32" t="inlineStr">
        <is>
          <t>1. Enter DOB = 65 years and 1 day ago.
2. Attempt to proceed.</t>
        </is>
      </c>
      <c r="J27" s="32" t="inlineStr">
        <is>
          <t>DOB 65y+1d (CONFIRM inclusivity of 65)</t>
        </is>
      </c>
      <c r="K27" s="32" t="inlineStr">
        <is>
          <t>Eligibility error displayed; progression blocked.
Also verify: the rejected value is not saved (reload or GET shows the previous/empty value).</t>
        </is>
      </c>
      <c r="L27" s="31" t="inlineStr">
        <is>
          <t>Critical</t>
        </is>
      </c>
      <c r="M27" s="31" t="inlineStr">
        <is>
          <t>P1</t>
        </is>
      </c>
      <c r="N27" s="31" t="n">
        <v>2</v>
      </c>
      <c r="O27" s="32" t="inlineStr">
        <is>
          <t>@regression client</t>
        </is>
      </c>
      <c r="P27" s="32" t="inlineStr">
        <is>
          <t>Screenshot of error</t>
        </is>
      </c>
      <c r="Q27" s="31" t="inlineStr">
        <is>
          <t>Automated</t>
        </is>
      </c>
      <c r="R27" s="32" t="inlineStr">
        <is>
          <t>tests/client-information/dob.spec.ts</t>
        </is>
      </c>
      <c r="S27" s="31" t="inlineStr">
        <is>
          <t>Not run</t>
        </is>
      </c>
      <c r="T27" s="32" t="inlineStr">
        <is>
          <t>Exact value/rule to be confirmed from app (see Open Items).</t>
        </is>
      </c>
      <c r="U27" s="31" t="inlineStr">
        <is>
          <t>Y</t>
        </is>
      </c>
      <c r="V27" s="31" t="inlineStr">
        <is>
          <t>Boundary</t>
        </is>
      </c>
      <c r="W27" s="32" t="inlineStr">
        <is>
          <t>-</t>
        </is>
      </c>
      <c r="X27" s="32" t="inlineStr">
        <is>
          <t>Creates its own application via fixture (independent; unique generated data).</t>
        </is>
      </c>
    </row>
    <row r="28" ht="35.05" customHeight="1" s="23">
      <c r="A28" s="31" t="inlineStr">
        <is>
          <t>TC-CLI-05</t>
        </is>
      </c>
      <c r="B28" s="32" t="inlineStr">
        <is>
          <t>Future DOB is rejected</t>
        </is>
      </c>
      <c r="C28" s="32" t="inlineStr">
        <is>
          <t>Client Information</t>
        </is>
      </c>
      <c r="D28" s="31" t="inlineStr">
        <is>
          <t>UI</t>
        </is>
      </c>
      <c r="E28" s="32" t="inlineStr">
        <is>
          <t>CLI-V05</t>
        </is>
      </c>
      <c r="F28" s="32" t="inlineStr">
        <is>
          <t>QR-03</t>
        </is>
      </c>
      <c r="G28" s="32" t="inlineStr">
        <is>
          <t>Future DOB accepted</t>
        </is>
      </c>
      <c r="H28" s="32" t="inlineStr">
        <is>
          <t>On Client step.</t>
        </is>
      </c>
      <c r="I28" s="32" t="inlineStr">
        <is>
          <t>1. Enter DOB = tomorrow.
2. Attempt to proceed.</t>
        </is>
      </c>
      <c r="J28" s="32" t="inlineStr">
        <is>
          <t>DOB tomorrow</t>
        </is>
      </c>
      <c r="K28" s="32" t="inlineStr">
        <is>
          <t>Validation error shown; progression blocked.
Also verify: the rejected value is not saved (reload or GET shows the previous/empty value).</t>
        </is>
      </c>
      <c r="L28" s="31" t="inlineStr">
        <is>
          <t>Critical</t>
        </is>
      </c>
      <c r="M28" s="31" t="inlineStr">
        <is>
          <t>P1</t>
        </is>
      </c>
      <c r="N28" s="31" t="n">
        <v>1</v>
      </c>
      <c r="O28" s="32" t="inlineStr">
        <is>
          <t>@smoke @regression client</t>
        </is>
      </c>
      <c r="P28" s="32" t="inlineStr">
        <is>
          <t>Screenshot of error</t>
        </is>
      </c>
      <c r="Q28" s="31" t="inlineStr">
        <is>
          <t>Automated</t>
        </is>
      </c>
      <c r="R28" s="32" t="inlineStr">
        <is>
          <t>tests/client-information/dob.spec.ts</t>
        </is>
      </c>
      <c r="S28" s="31" t="inlineStr">
        <is>
          <t>Not run</t>
        </is>
      </c>
      <c r="T28" s="32" t="n"/>
      <c r="U28" s="31" t="inlineStr">
        <is>
          <t>Y</t>
        </is>
      </c>
      <c r="V28" s="31" t="inlineStr">
        <is>
          <t>Boundary</t>
        </is>
      </c>
      <c r="W28" s="32" t="inlineStr">
        <is>
          <t>API: POST client rejects future DOB</t>
        </is>
      </c>
      <c r="X28" s="32" t="inlineStr">
        <is>
          <t>Creates its own application via fixture (independent; unique generated data).</t>
        </is>
      </c>
    </row>
    <row r="29" ht="46.25" customHeight="1" s="23">
      <c r="A29" s="31" t="inlineStr">
        <is>
          <t>TC-CLI-06</t>
        </is>
      </c>
      <c r="B29" s="32" t="inlineStr">
        <is>
          <t>Boundary ages 18 and 65 are accepted (inclusive boundary)</t>
        </is>
      </c>
      <c r="C29" s="32" t="inlineStr">
        <is>
          <t>Client Information</t>
        </is>
      </c>
      <c r="D29" s="31" t="inlineStr">
        <is>
          <t>UI</t>
        </is>
      </c>
      <c r="E29" s="32" t="inlineStr">
        <is>
          <t>Guideline: DOB rules (BVA)</t>
        </is>
      </c>
      <c r="F29" s="32" t="inlineStr">
        <is>
          <t>QR-03</t>
        </is>
      </c>
      <c r="G29" s="32" t="inlineStr">
        <is>
          <t>Boundary off-by-one</t>
        </is>
      </c>
      <c r="H29" s="32" t="inlineStr">
        <is>
          <t>On Client step. Inclusivity of 18 and 65 confirmed (see Open Items).</t>
        </is>
      </c>
      <c r="I29" s="32" t="inlineStr">
        <is>
          <t>1. Enter DOB exactly 18 years ago; proceed.
2. Repeat with DOB exactly 65 years ago.</t>
        </is>
      </c>
      <c r="J29" s="32" t="inlineStr">
        <is>
          <t>DOB 18y0d and 65y0d</t>
        </is>
      </c>
      <c r="K29" s="32" t="inlineStr">
        <is>
          <t>Both DOBs accepted and progression allowed (adjust if spec says 65 exclusive).
Also verify: the rejected value is not saved (reload or GET shows the previous/empty value).</t>
        </is>
      </c>
      <c r="L29" s="31" t="inlineStr">
        <is>
          <t>High</t>
        </is>
      </c>
      <c r="M29" s="31" t="inlineStr">
        <is>
          <t>P2</t>
        </is>
      </c>
      <c r="N29" s="31" t="n">
        <v>3</v>
      </c>
      <c r="O29" s="32" t="inlineStr">
        <is>
          <t>@regression client</t>
        </is>
      </c>
      <c r="P29" s="32" t="inlineStr">
        <is>
          <t>Screenshots for both boundaries</t>
        </is>
      </c>
      <c r="Q29" s="31" t="inlineStr">
        <is>
          <t>Automated</t>
        </is>
      </c>
      <c r="R29" s="32" t="inlineStr">
        <is>
          <t>tests/client-information/dob.spec.ts</t>
        </is>
      </c>
      <c r="S29" s="31" t="inlineStr">
        <is>
          <t>Not run</t>
        </is>
      </c>
      <c r="T29" s="32" t="n"/>
      <c r="U29" s="31" t="inlineStr">
        <is>
          <t>N</t>
        </is>
      </c>
      <c r="V29" s="31" t="inlineStr">
        <is>
          <t>Boundary</t>
        </is>
      </c>
      <c r="W29" s="32" t="inlineStr">
        <is>
          <t>-</t>
        </is>
      </c>
      <c r="X29" s="32" t="inlineStr">
        <is>
          <t>Creates its own application via fixture (independent; unique generated data).</t>
        </is>
      </c>
    </row>
    <row r="30" ht="35.05" customHeight="1" s="23">
      <c r="A30" s="31" t="inlineStr">
        <is>
          <t>TC-CLI-07</t>
        </is>
      </c>
      <c r="B30" s="32" t="inlineStr">
        <is>
          <t>Calculated age is displayed correctly from DOB</t>
        </is>
      </c>
      <c r="C30" s="32" t="inlineStr">
        <is>
          <t>Client Information</t>
        </is>
      </c>
      <c r="D30" s="31" t="inlineStr">
        <is>
          <t>UI</t>
        </is>
      </c>
      <c r="E30" s="32" t="inlineStr">
        <is>
          <t>Guideline: age visibility</t>
        </is>
      </c>
      <c r="F30" s="32" t="inlineStr">
        <is>
          <t>QR-03</t>
        </is>
      </c>
      <c r="G30" s="32" t="inlineStr">
        <is>
          <t>Age miscalculated</t>
        </is>
      </c>
      <c r="H30" s="32" t="inlineStr">
        <is>
          <t>On Client step.</t>
        </is>
      </c>
      <c r="I30" s="32" t="inlineStr">
        <is>
          <t>1. Enter a DOB giving a known age (including one whose birthday is later this year).
2. Read displayed age.</t>
        </is>
      </c>
      <c r="J30" s="32" t="inlineStr">
        <is>
          <t>DOB 40y and 39y364d</t>
        </is>
      </c>
      <c r="K30" s="32" t="inlineStr">
        <is>
          <t>Displayed age equals expected age computed by test helper for each DOB.</t>
        </is>
      </c>
      <c r="L30" s="31" t="inlineStr">
        <is>
          <t>High</t>
        </is>
      </c>
      <c r="M30" s="31" t="inlineStr">
        <is>
          <t>P2</t>
        </is>
      </c>
      <c r="N30" s="31" t="n">
        <v>2</v>
      </c>
      <c r="O30" s="32" t="inlineStr">
        <is>
          <t>@regression client</t>
        </is>
      </c>
      <c r="P30" s="32" t="inlineStr">
        <is>
          <t>Screenshot of age field</t>
        </is>
      </c>
      <c r="Q30" s="31" t="inlineStr">
        <is>
          <t>Automated</t>
        </is>
      </c>
      <c r="R30" s="32" t="inlineStr">
        <is>
          <t>tests/client-information/dob.spec.ts</t>
        </is>
      </c>
      <c r="S30" s="31" t="inlineStr">
        <is>
          <t>Not run</t>
        </is>
      </c>
      <c r="T30" s="32" t="n"/>
      <c r="U30" s="31" t="inlineStr">
        <is>
          <t>N</t>
        </is>
      </c>
      <c r="V30" s="31" t="inlineStr">
        <is>
          <t>Positive</t>
        </is>
      </c>
      <c r="W30" s="32" t="inlineStr">
        <is>
          <t>-</t>
        </is>
      </c>
      <c r="X30" s="32" t="inlineStr">
        <is>
          <t>Creates its own application via fixture (independent; unique generated data).</t>
        </is>
      </c>
    </row>
    <row r="31" ht="46.25" customHeight="1" s="23">
      <c r="A31" s="31" t="inlineStr">
        <is>
          <t>TC-CLI-08</t>
        </is>
      </c>
      <c r="B31" s="32" t="inlineStr">
        <is>
          <t>Invalid name formats are rejected</t>
        </is>
      </c>
      <c r="C31" s="32" t="inlineStr">
        <is>
          <t>Client Information</t>
        </is>
      </c>
      <c r="D31" s="31" t="inlineStr">
        <is>
          <t>UI</t>
        </is>
      </c>
      <c r="E31" s="32" t="inlineStr">
        <is>
          <t>Guideline: name validation</t>
        </is>
      </c>
      <c r="F31" s="32" t="inlineStr">
        <is>
          <t>QR-03</t>
        </is>
      </c>
      <c r="G31" s="32" t="inlineStr">
        <is>
          <t>Invalid names accepted</t>
        </is>
      </c>
      <c r="H31" s="32" t="inlineStr">
        <is>
          <t>On Client step.</t>
        </is>
      </c>
      <c r="I31" s="32" t="inlineStr">
        <is>
          <t>1. Enter names with digits/symbols (e.g. 'J0hn#', '123', single space).
2. Attempt to proceed.</t>
        </is>
      </c>
      <c r="J31" s="32" t="inlineStr">
        <is>
          <t>'J0hn#', '12345', '   '</t>
        </is>
      </c>
      <c r="K31" s="32" t="inlineStr">
        <is>
          <t>Name validation error shown for each invalid value; valid name 'Anita Rao' accepted.
Also verify: the rejected value is not saved (reload or GET shows the previous/empty value).</t>
        </is>
      </c>
      <c r="L31" s="31" t="inlineStr">
        <is>
          <t>Medium</t>
        </is>
      </c>
      <c r="M31" s="31" t="inlineStr">
        <is>
          <t>P2</t>
        </is>
      </c>
      <c r="N31" s="31" t="n">
        <v>3</v>
      </c>
      <c r="O31" s="32" t="inlineStr">
        <is>
          <t>@regression client</t>
        </is>
      </c>
      <c r="P31" s="32" t="inlineStr">
        <is>
          <t>Screenshot per invalid value</t>
        </is>
      </c>
      <c r="Q31" s="31" t="inlineStr">
        <is>
          <t>Automated</t>
        </is>
      </c>
      <c r="R31" s="32" t="inlineStr">
        <is>
          <t>tests/client-information/client.spec.ts</t>
        </is>
      </c>
      <c r="S31" s="31" t="inlineStr">
        <is>
          <t>Not run</t>
        </is>
      </c>
      <c r="T31" s="32" t="n"/>
      <c r="U31" s="31" t="inlineStr">
        <is>
          <t>N</t>
        </is>
      </c>
      <c r="V31" s="31" t="inlineStr">
        <is>
          <t>Negative</t>
        </is>
      </c>
      <c r="W31" s="32" t="inlineStr">
        <is>
          <t>-</t>
        </is>
      </c>
      <c r="X31" s="32" t="inlineStr">
        <is>
          <t>Creates its own application via fixture (independent; unique generated data).</t>
        </is>
      </c>
    </row>
    <row r="32" ht="46.25" customHeight="1" s="23">
      <c r="A32" s="31" t="inlineStr">
        <is>
          <t>TC-CLI-09</t>
        </is>
      </c>
      <c r="B32" s="32" t="inlineStr">
        <is>
          <t>Impossible or malformed DOB values are rejected</t>
        </is>
      </c>
      <c r="C32" s="32" t="inlineStr">
        <is>
          <t>Client Information</t>
        </is>
      </c>
      <c r="D32" s="31" t="inlineStr">
        <is>
          <t>UI</t>
        </is>
      </c>
      <c r="E32" s="32" t="inlineStr">
        <is>
          <t>Guideline: date of birth rules</t>
        </is>
      </c>
      <c r="F32" s="32" t="inlineStr">
        <is>
          <t>QR-03</t>
        </is>
      </c>
      <c r="G32" s="32" t="inlineStr">
        <is>
          <t>Invalid DOB accepted</t>
        </is>
      </c>
      <c r="H32" s="32" t="inlineStr">
        <is>
          <t>On Client step.</t>
        </is>
      </c>
      <c r="I32" s="32" t="inlineStr">
        <is>
          <t>1. Enter 31-Feb, 00/00/0000, text 'abc', and a year before 1900.
2. Attempt to proceed.</t>
        </is>
      </c>
      <c r="J32" s="32" t="inlineStr">
        <is>
          <t>'31-02-1990', '00-00-0000', 'abc', '01-01-1850'</t>
        </is>
      </c>
      <c r="K32" s="32" t="inlineStr">
        <is>
          <t>Each value is rejected with a date-format/range error; no age is calculated or displayed.
Also verify: the rejected value is not saved (reload or GET shows the previous/empty value).</t>
        </is>
      </c>
      <c r="L32" s="31" t="inlineStr">
        <is>
          <t>Medium</t>
        </is>
      </c>
      <c r="M32" s="31" t="inlineStr">
        <is>
          <t>P2</t>
        </is>
      </c>
      <c r="N32" s="31" t="n">
        <v>3</v>
      </c>
      <c r="O32" s="32" t="inlineStr">
        <is>
          <t>@regression client</t>
        </is>
      </c>
      <c r="P32" s="32" t="inlineStr">
        <is>
          <t>Screenshot per value</t>
        </is>
      </c>
      <c r="Q32" s="31" t="inlineStr">
        <is>
          <t>Automated</t>
        </is>
      </c>
      <c r="R32" s="32" t="inlineStr">
        <is>
          <t>tests/client-information/dob.spec.ts</t>
        </is>
      </c>
      <c r="S32" s="31" t="inlineStr">
        <is>
          <t>Not run</t>
        </is>
      </c>
      <c r="T32" s="32" t="n"/>
      <c r="U32" s="31" t="inlineStr">
        <is>
          <t>N</t>
        </is>
      </c>
      <c r="V32" s="31" t="inlineStr">
        <is>
          <t>Boundary</t>
        </is>
      </c>
      <c r="W32" s="32" t="inlineStr">
        <is>
          <t>-</t>
        </is>
      </c>
      <c r="X32" s="32" t="inlineStr">
        <is>
          <t>Creates its own application via fixture (independent; unique generated data).</t>
        </is>
      </c>
    </row>
    <row r="33" ht="46.25" customHeight="1" s="23">
      <c r="A33" s="31" t="inlineStr">
        <is>
          <t>TC-ADDR-01</t>
        </is>
      </c>
      <c r="B33" s="32" t="inlineStr">
        <is>
          <t>Same-as-residential copies address to mailing</t>
        </is>
      </c>
      <c r="C33" s="32" t="inlineStr">
        <is>
          <t>Address &amp; Contact</t>
        </is>
      </c>
      <c r="D33" s="31" t="inlineStr">
        <is>
          <t>UI</t>
        </is>
      </c>
      <c r="E33" s="32" t="inlineStr">
        <is>
          <t>CLI-V06</t>
        </is>
      </c>
      <c r="F33" s="32" t="inlineStr">
        <is>
          <t>QR-03</t>
        </is>
      </c>
      <c r="G33" s="32" t="inlineStr">
        <is>
          <t>Same-as-residential not copied</t>
        </is>
      </c>
      <c r="H33" s="32" t="inlineStr">
        <is>
          <t>On Address &amp; Contact step.</t>
        </is>
      </c>
      <c r="I33" s="32" t="inlineStr">
        <is>
          <t>1. Fill residential address.
2. Tick 'same as residential'.
3. Compare mailing fields.
4. Save and reopen.</t>
        </is>
      </c>
      <c r="J33" s="32" t="inlineStr">
        <is>
          <t>Generated address</t>
        </is>
      </c>
      <c r="K33" s="32" t="inlineStr">
        <is>
          <t>All mailing fields equal residential values; values persist after reopening.</t>
        </is>
      </c>
      <c r="L33" s="31" t="inlineStr">
        <is>
          <t>Medium</t>
        </is>
      </c>
      <c r="M33" s="31" t="inlineStr">
        <is>
          <t>P1</t>
        </is>
      </c>
      <c r="N33" s="31" t="n">
        <v>1</v>
      </c>
      <c r="O33" s="32" t="inlineStr">
        <is>
          <t>@smoke @regression address</t>
        </is>
      </c>
      <c r="P33" s="32" t="inlineStr">
        <is>
          <t>Screenshot of copied fields</t>
        </is>
      </c>
      <c r="Q33" s="31" t="inlineStr">
        <is>
          <t>Automated</t>
        </is>
      </c>
      <c r="R33" s="32" t="inlineStr">
        <is>
          <t>tests/client-information/address.spec.ts</t>
        </is>
      </c>
      <c r="S33" s="31" t="inlineStr">
        <is>
          <t>Not run</t>
        </is>
      </c>
      <c r="T33" s="32" t="n"/>
      <c r="U33" s="31" t="inlineStr">
        <is>
          <t>Y</t>
        </is>
      </c>
      <c r="V33" s="31" t="inlineStr">
        <is>
          <t>Positive</t>
        </is>
      </c>
      <c r="W33" s="32" t="inlineStr">
        <is>
          <t>-</t>
        </is>
      </c>
      <c r="X33" s="32" t="inlineStr">
        <is>
          <t>Creates its own application via fixture (independent; unique generated data).</t>
        </is>
      </c>
    </row>
    <row r="34" ht="35.05" customHeight="1" s="23">
      <c r="A34" s="31" t="inlineStr">
        <is>
          <t>TC-ADDR-02</t>
        </is>
      </c>
      <c r="B34" s="32" t="inlineStr">
        <is>
          <t>Unticking same-as-residential makes mailing editable and independent</t>
        </is>
      </c>
      <c r="C34" s="32" t="inlineStr">
        <is>
          <t>Address &amp; Contact</t>
        </is>
      </c>
      <c r="D34" s="31" t="inlineStr">
        <is>
          <t>UI</t>
        </is>
      </c>
      <c r="E34" s="32" t="inlineStr">
        <is>
          <t>Guideline: same-as-residential</t>
        </is>
      </c>
      <c r="F34" s="32" t="inlineStr">
        <is>
          <t>QR-03</t>
        </is>
      </c>
      <c r="G34" s="32" t="inlineStr">
        <is>
          <t>Mailing locked/overwritten</t>
        </is>
      </c>
      <c r="H34" s="32" t="inlineStr">
        <is>
          <t>Same-as-residential ticked.</t>
        </is>
      </c>
      <c r="I34" s="32" t="inlineStr">
        <is>
          <t>1. Untick the checkbox.
2. Edit a mailing field.
3. Edit a residential field.</t>
        </is>
      </c>
      <c r="J34" s="32" t="inlineStr">
        <is>
          <t>Generated address</t>
        </is>
      </c>
      <c r="K34" s="32" t="inlineStr">
        <is>
          <t>Mailing fields become editable; editing residential no longer overwrites edited mailing values.</t>
        </is>
      </c>
      <c r="L34" s="31" t="inlineStr">
        <is>
          <t>Low</t>
        </is>
      </c>
      <c r="M34" s="31" t="inlineStr">
        <is>
          <t>P3</t>
        </is>
      </c>
      <c r="N34" s="31" t="n">
        <v>3</v>
      </c>
      <c r="O34" s="32" t="inlineStr">
        <is>
          <t>@regression address</t>
        </is>
      </c>
      <c r="P34" s="32" t="inlineStr">
        <is>
          <t>Screenshot</t>
        </is>
      </c>
      <c r="Q34" s="31" t="inlineStr">
        <is>
          <t>Automated</t>
        </is>
      </c>
      <c r="R34" s="32" t="inlineStr">
        <is>
          <t>tests/client-information/address.spec.ts</t>
        </is>
      </c>
      <c r="S34" s="31" t="inlineStr">
        <is>
          <t>Not run</t>
        </is>
      </c>
      <c r="T34" s="32" t="n"/>
      <c r="U34" s="31" t="inlineStr">
        <is>
          <t>N</t>
        </is>
      </c>
      <c r="V34" s="31" t="inlineStr">
        <is>
          <t>Positive</t>
        </is>
      </c>
      <c r="W34" s="32" t="inlineStr">
        <is>
          <t>-</t>
        </is>
      </c>
      <c r="X34" s="32" t="inlineStr">
        <is>
          <t>Creates its own application via fixture (independent; unique generated data).</t>
        </is>
      </c>
    </row>
    <row r="35" ht="46.25" customHeight="1" s="23">
      <c r="A35" s="31" t="inlineStr">
        <is>
          <t>TC-ADDR-03</t>
        </is>
      </c>
      <c r="B35" s="32" t="inlineStr">
        <is>
          <t>Invalid ZIP/postal code is rejected</t>
        </is>
      </c>
      <c r="C35" s="32" t="inlineStr">
        <is>
          <t>Address &amp; Contact</t>
        </is>
      </c>
      <c r="D35" s="31" t="inlineStr">
        <is>
          <t>UI</t>
        </is>
      </c>
      <c r="E35" s="32" t="inlineStr">
        <is>
          <t>Guideline: ZIP validation</t>
        </is>
      </c>
      <c r="F35" s="32" t="inlineStr">
        <is>
          <t>QR-03</t>
        </is>
      </c>
      <c r="G35" s="32" t="inlineStr">
        <is>
          <t>ZIP validation gaps</t>
        </is>
      </c>
      <c r="H35" s="32" t="inlineStr">
        <is>
          <t>On Address step.</t>
        </is>
      </c>
      <c r="I35" s="32" t="inlineStr">
        <is>
          <t>1. Enter invalid ZIP values.
2. Attempt to proceed.</t>
        </is>
      </c>
      <c r="J35" s="32" t="inlineStr">
        <is>
          <t>'ABCDE', '123', '1234567', blank</t>
        </is>
      </c>
      <c r="K35" s="32" t="inlineStr">
        <is>
          <t>Error shown per invalid ZIP; valid ZIP for the chosen state accepted.
Also verify: the rejected value is not saved (reload or GET shows the previous/empty value).</t>
        </is>
      </c>
      <c r="L35" s="31" t="inlineStr">
        <is>
          <t>Medium</t>
        </is>
      </c>
      <c r="M35" s="31" t="inlineStr">
        <is>
          <t>P2</t>
        </is>
      </c>
      <c r="N35" s="31" t="n">
        <v>2</v>
      </c>
      <c r="O35" s="32" t="inlineStr">
        <is>
          <t>@regression address</t>
        </is>
      </c>
      <c r="P35" s="32" t="inlineStr">
        <is>
          <t>Screenshot per value</t>
        </is>
      </c>
      <c r="Q35" s="31" t="inlineStr">
        <is>
          <t>Automated</t>
        </is>
      </c>
      <c r="R35" s="32" t="inlineStr">
        <is>
          <t>tests/client-information/address.spec.ts</t>
        </is>
      </c>
      <c r="S35" s="31" t="inlineStr">
        <is>
          <t>Not run</t>
        </is>
      </c>
      <c r="T35" s="32" t="n"/>
      <c r="U35" s="31" t="inlineStr">
        <is>
          <t>N</t>
        </is>
      </c>
      <c r="V35" s="31" t="inlineStr">
        <is>
          <t>Negative</t>
        </is>
      </c>
      <c r="W35" s="32" t="inlineStr">
        <is>
          <t>-</t>
        </is>
      </c>
      <c r="X35" s="32" t="inlineStr">
        <is>
          <t>Creates its own application via fixture (independent; unique generated data).</t>
        </is>
      </c>
    </row>
    <row r="36" ht="46.25" customHeight="1" s="23">
      <c r="A36" s="31" t="inlineStr">
        <is>
          <t>TC-ADDR-04</t>
        </is>
      </c>
      <c r="B36" s="32" t="inlineStr">
        <is>
          <t>State is mandatory and ZIP/state mismatch is flagged</t>
        </is>
      </c>
      <c r="C36" s="32" t="inlineStr">
        <is>
          <t>Address &amp; Contact</t>
        </is>
      </c>
      <c r="D36" s="31" t="inlineStr">
        <is>
          <t>UI</t>
        </is>
      </c>
      <c r="E36" s="32" t="inlineStr">
        <is>
          <t>Guideline: state validation</t>
        </is>
      </c>
      <c r="F36" s="32" t="inlineStr">
        <is>
          <t>QR-03</t>
        </is>
      </c>
      <c r="G36" s="32" t="inlineStr">
        <is>
          <t>State validation gaps</t>
        </is>
      </c>
      <c r="H36" s="32" t="inlineStr">
        <is>
          <t>On Address step.</t>
        </is>
      </c>
      <c r="I36" s="32" t="inlineStr">
        <is>
          <t>1. Leave state unselected; proceed.
2. Select a state and a ZIP belonging to another state (if app validates).</t>
        </is>
      </c>
      <c r="J36" s="32" t="inlineStr">
        <is>
          <t>State/ZIP pairs (CONFIRM rule)</t>
        </is>
      </c>
      <c r="K36" s="32" t="inlineStr">
        <is>
          <t>Missing state blocks progression; mismatch behavior matches confirmed rule.
Also verify: the rejected value is not saved (reload or GET shows the previous/empty value).</t>
        </is>
      </c>
      <c r="L36" s="31" t="inlineStr">
        <is>
          <t>Medium</t>
        </is>
      </c>
      <c r="M36" s="31" t="inlineStr">
        <is>
          <t>P3</t>
        </is>
      </c>
      <c r="N36" s="31" t="n">
        <v>3</v>
      </c>
      <c r="O36" s="32" t="inlineStr">
        <is>
          <t>@regression address</t>
        </is>
      </c>
      <c r="P36" s="32" t="inlineStr">
        <is>
          <t>Screenshot</t>
        </is>
      </c>
      <c r="Q36" s="31" t="inlineStr">
        <is>
          <t>Automated</t>
        </is>
      </c>
      <c r="R36" s="32" t="inlineStr">
        <is>
          <t>tests/client-information/address.spec.ts</t>
        </is>
      </c>
      <c r="S36" s="31" t="inlineStr">
        <is>
          <t>Not run</t>
        </is>
      </c>
      <c r="T36" s="32" t="inlineStr">
        <is>
          <t>Exact value/rule to be confirmed from app (see Open Items).</t>
        </is>
      </c>
      <c r="U36" s="31" t="inlineStr">
        <is>
          <t>N</t>
        </is>
      </c>
      <c r="V36" s="31" t="inlineStr">
        <is>
          <t>Negative</t>
        </is>
      </c>
      <c r="W36" s="32" t="inlineStr">
        <is>
          <t>-</t>
        </is>
      </c>
      <c r="X36" s="32" t="inlineStr">
        <is>
          <t>Creates its own application via fixture (independent; unique generated data).</t>
        </is>
      </c>
    </row>
    <row r="37" ht="35.05" customHeight="1" s="23">
      <c r="A37" s="31" t="inlineStr">
        <is>
          <t>TC-ADDR-05</t>
        </is>
      </c>
      <c r="B37" s="32" t="inlineStr">
        <is>
          <t>Invalid email format is rejected</t>
        </is>
      </c>
      <c r="C37" s="32" t="inlineStr">
        <is>
          <t>Address &amp; Contact</t>
        </is>
      </c>
      <c r="D37" s="31" t="inlineStr">
        <is>
          <t>UI</t>
        </is>
      </c>
      <c r="E37" s="32" t="inlineStr">
        <is>
          <t>CLI-V07</t>
        </is>
      </c>
      <c r="F37" s="32" t="inlineStr">
        <is>
          <t>QR-03</t>
        </is>
      </c>
      <c r="G37" s="32" t="inlineStr">
        <is>
          <t>Email validation gap</t>
        </is>
      </c>
      <c r="H37" s="32" t="inlineStr">
        <is>
          <t>On Contact section.</t>
        </is>
      </c>
      <c r="I37" s="32" t="inlineStr">
        <is>
          <t>1. Enter invalid emails.
2. Attempt to proceed.</t>
        </is>
      </c>
      <c r="J37" s="32" t="inlineStr">
        <is>
          <t>'abc', 'a@b', 'a@@b.com', 'a b@c.com'</t>
        </is>
      </c>
      <c r="K37" s="32" t="inlineStr">
        <is>
          <t>Inline email error per value; valid email accepted.
Also verify: the rejected value is not saved (reload or GET shows the previous/empty value).</t>
        </is>
      </c>
      <c r="L37" s="31" t="inlineStr">
        <is>
          <t>Medium</t>
        </is>
      </c>
      <c r="M37" s="31" t="inlineStr">
        <is>
          <t>P2</t>
        </is>
      </c>
      <c r="N37" s="31" t="n">
        <v>2</v>
      </c>
      <c r="O37" s="32" t="inlineStr">
        <is>
          <t>@regression address</t>
        </is>
      </c>
      <c r="P37" s="32" t="inlineStr">
        <is>
          <t>Screenshot per value</t>
        </is>
      </c>
      <c r="Q37" s="31" t="inlineStr">
        <is>
          <t>Automated</t>
        </is>
      </c>
      <c r="R37" s="32" t="inlineStr">
        <is>
          <t>tests/client-information/contact.spec.ts</t>
        </is>
      </c>
      <c r="S37" s="31" t="inlineStr">
        <is>
          <t>Not run</t>
        </is>
      </c>
      <c r="T37" s="32" t="n"/>
      <c r="U37" s="31" t="inlineStr">
        <is>
          <t>N</t>
        </is>
      </c>
      <c r="V37" s="31" t="inlineStr">
        <is>
          <t>Negative</t>
        </is>
      </c>
      <c r="W37" s="32" t="inlineStr">
        <is>
          <t>-</t>
        </is>
      </c>
      <c r="X37" s="32" t="inlineStr">
        <is>
          <t>Creates its own application via fixture (independent; unique generated data).</t>
        </is>
      </c>
    </row>
    <row r="38" ht="46.25" customHeight="1" s="23">
      <c r="A38" s="31" t="inlineStr">
        <is>
          <t>TC-ADDR-06</t>
        </is>
      </c>
      <c r="B38" s="32" t="inlineStr">
        <is>
          <t>Invalid phone number is rejected</t>
        </is>
      </c>
      <c r="C38" s="32" t="inlineStr">
        <is>
          <t>Address &amp; Contact</t>
        </is>
      </c>
      <c r="D38" s="31" t="inlineStr">
        <is>
          <t>UI</t>
        </is>
      </c>
      <c r="E38" s="32" t="inlineStr">
        <is>
          <t>CLI-V07</t>
        </is>
      </c>
      <c r="F38" s="32" t="inlineStr">
        <is>
          <t>QR-03</t>
        </is>
      </c>
      <c r="G38" s="32" t="inlineStr">
        <is>
          <t>Phone validation gap</t>
        </is>
      </c>
      <c r="H38" s="32" t="inlineStr">
        <is>
          <t>On Contact section.</t>
        </is>
      </c>
      <c r="I38" s="32" t="inlineStr">
        <is>
          <t>1. Enter invalid mobile/alternate numbers.
2. Attempt to proceed.</t>
        </is>
      </c>
      <c r="J38" s="32" t="inlineStr">
        <is>
          <t>'12345', 'abcdefghij', '+', 11-digit value (CONFIRM format)</t>
        </is>
      </c>
      <c r="K38" s="32" t="inlineStr">
        <is>
          <t>Inline phone error per value; valid number accepted.
Also verify: the rejected value is not saved (reload or GET shows the previous/empty value).</t>
        </is>
      </c>
      <c r="L38" s="31" t="inlineStr">
        <is>
          <t>Medium</t>
        </is>
      </c>
      <c r="M38" s="31" t="inlineStr">
        <is>
          <t>P2</t>
        </is>
      </c>
      <c r="N38" s="31" t="n">
        <v>2</v>
      </c>
      <c r="O38" s="32" t="inlineStr">
        <is>
          <t>@regression address</t>
        </is>
      </c>
      <c r="P38" s="32" t="inlineStr">
        <is>
          <t>Screenshot per value</t>
        </is>
      </c>
      <c r="Q38" s="31" t="inlineStr">
        <is>
          <t>Automated</t>
        </is>
      </c>
      <c r="R38" s="32" t="inlineStr">
        <is>
          <t>tests/client-information/contact.spec.ts</t>
        </is>
      </c>
      <c r="S38" s="31" t="inlineStr">
        <is>
          <t>Not run</t>
        </is>
      </c>
      <c r="T38" s="32" t="inlineStr">
        <is>
          <t>Exact value/rule to be confirmed from app (see Open Items).</t>
        </is>
      </c>
      <c r="U38" s="31" t="inlineStr">
        <is>
          <t>N</t>
        </is>
      </c>
      <c r="V38" s="31" t="inlineStr">
        <is>
          <t>Negative</t>
        </is>
      </c>
      <c r="W38" s="32" t="inlineStr">
        <is>
          <t>-</t>
        </is>
      </c>
      <c r="X38" s="32" t="inlineStr">
        <is>
          <t>Creates its own application via fixture (independent; unique generated data).</t>
        </is>
      </c>
    </row>
    <row r="39" ht="46.25" customHeight="1" s="23">
      <c r="A39" s="31" t="inlineStr">
        <is>
          <t>TC-ADDR-07</t>
        </is>
      </c>
      <c r="B39" s="32" t="inlineStr">
        <is>
          <t>At least one contact method / preferred mode is required</t>
        </is>
      </c>
      <c r="C39" s="32" t="inlineStr">
        <is>
          <t>Address &amp; Contact</t>
        </is>
      </c>
      <c r="D39" s="31" t="inlineStr">
        <is>
          <t>UI</t>
        </is>
      </c>
      <c r="E39" s="32" t="inlineStr">
        <is>
          <t>Guideline: mandatory contact method</t>
        </is>
      </c>
      <c r="F39" s="32" t="inlineStr">
        <is>
          <t>QR-03</t>
        </is>
      </c>
      <c r="G39" s="32" t="inlineStr">
        <is>
          <t>No contact method required</t>
        </is>
      </c>
      <c r="H39" s="32" t="inlineStr">
        <is>
          <t>On Contact section.</t>
        </is>
      </c>
      <c r="I39" s="32" t="inlineStr">
        <is>
          <t>1. Clear email, mobile and alternate phone.
2. Leave preferred communication mode empty.
3. Proceed.</t>
        </is>
      </c>
      <c r="J39" s="32" t="inlineStr">
        <is>
          <t>Empty contact data</t>
        </is>
      </c>
      <c r="K39" s="32" t="inlineStr">
        <is>
          <t>Validation requires a contact method / preferred mode; progression blocked.
Also verify: the rejected value is not saved (reload or GET shows the previous/empty value).</t>
        </is>
      </c>
      <c r="L39" s="31" t="inlineStr">
        <is>
          <t>Medium</t>
        </is>
      </c>
      <c r="M39" s="31" t="inlineStr">
        <is>
          <t>P2</t>
        </is>
      </c>
      <c r="N39" s="31" t="n">
        <v>3</v>
      </c>
      <c r="O39" s="32" t="inlineStr">
        <is>
          <t>@regression address</t>
        </is>
      </c>
      <c r="P39" s="32" t="inlineStr">
        <is>
          <t>Screenshot</t>
        </is>
      </c>
      <c r="Q39" s="31" t="inlineStr">
        <is>
          <t>Automated</t>
        </is>
      </c>
      <c r="R39" s="32" t="inlineStr">
        <is>
          <t>tests/client-information/contact.spec.ts</t>
        </is>
      </c>
      <c r="S39" s="31" t="inlineStr">
        <is>
          <t>Not run</t>
        </is>
      </c>
      <c r="T39" s="32" t="n"/>
      <c r="U39" s="31" t="inlineStr">
        <is>
          <t>N</t>
        </is>
      </c>
      <c r="V39" s="31" t="inlineStr">
        <is>
          <t>Negative</t>
        </is>
      </c>
      <c r="W39" s="32" t="inlineStr">
        <is>
          <t>-</t>
        </is>
      </c>
      <c r="X39" s="32" t="inlineStr">
        <is>
          <t>Creates its own application via fixture (independent; unique generated data).</t>
        </is>
      </c>
    </row>
    <row r="40" ht="35.05" customHeight="1" s="23">
      <c r="A40" s="31" t="inlineStr">
        <is>
          <t>TC-KYC-01</t>
        </is>
      </c>
      <c r="B40" s="32" t="inlineStr">
        <is>
          <t>SSN is masked after entry (only last four visible)</t>
        </is>
      </c>
      <c r="C40" s="32" t="inlineStr">
        <is>
          <t>KYC &amp; Financial</t>
        </is>
      </c>
      <c r="D40" s="31" t="inlineStr">
        <is>
          <t>UI</t>
        </is>
      </c>
      <c r="E40" s="32" t="inlineStr">
        <is>
          <t>CLI-V08</t>
        </is>
      </c>
      <c r="F40" s="32" t="inlineStr">
        <is>
          <t>QR-04</t>
        </is>
      </c>
      <c r="G40" s="32" t="inlineStr">
        <is>
          <t>SSN not masked</t>
        </is>
      </c>
      <c r="H40" s="32" t="inlineStr">
        <is>
          <t>On KYC step.</t>
        </is>
      </c>
      <c r="I40" s="32" t="inlineStr">
        <is>
          <t>1. Enter a synthetic SSN.
2. Tab away / save.
3. Reopen the step.</t>
        </is>
      </c>
      <c r="J40" s="32" t="inlineStr">
        <is>
          <t>Synthetic SSN 123-45-6789 (fake)</t>
        </is>
      </c>
      <c r="K40" s="32" t="inlineStr">
        <is>
          <t>Only last four digits visible after entry and on reopen; full value not displayed.</t>
        </is>
      </c>
      <c r="L40" s="31" t="inlineStr">
        <is>
          <t>Critical</t>
        </is>
      </c>
      <c r="M40" s="31" t="inlineStr">
        <is>
          <t>P1</t>
        </is>
      </c>
      <c r="N40" s="31" t="n">
        <v>2</v>
      </c>
      <c r="O40" s="32" t="inlineStr">
        <is>
          <t>@regression kyc</t>
        </is>
      </c>
      <c r="P40" s="32" t="inlineStr">
        <is>
          <t>Screenshot (use fake SSN only)</t>
        </is>
      </c>
      <c r="Q40" s="31" t="inlineStr">
        <is>
          <t>Automated</t>
        </is>
      </c>
      <c r="R40" s="32" t="inlineStr">
        <is>
          <t>tests/client-information/kyc.spec.ts</t>
        </is>
      </c>
      <c r="S40" s="31" t="inlineStr">
        <is>
          <t>Not run</t>
        </is>
      </c>
      <c r="T40" s="32" t="n"/>
      <c r="U40" s="31" t="inlineStr">
        <is>
          <t>Y</t>
        </is>
      </c>
      <c r="V40" s="31" t="inlineStr">
        <is>
          <t>Positive</t>
        </is>
      </c>
      <c r="W40" s="32" t="inlineStr">
        <is>
          <t>API/DB: stored SSN masked/encrypted (read-only)</t>
        </is>
      </c>
      <c r="X40" s="32" t="inlineStr">
        <is>
          <t>Creates its own application via fixture (independent; unique generated data).</t>
        </is>
      </c>
    </row>
    <row r="41" ht="46.25" customHeight="1" s="23">
      <c r="A41" s="31" t="inlineStr">
        <is>
          <t>TC-KYC-02</t>
        </is>
      </c>
      <c r="B41" s="32" t="inlineStr">
        <is>
          <t>ID number validated by ID type</t>
        </is>
      </c>
      <c r="C41" s="32" t="inlineStr">
        <is>
          <t>KYC &amp; Financial</t>
        </is>
      </c>
      <c r="D41" s="31" t="inlineStr">
        <is>
          <t>UI</t>
        </is>
      </c>
      <c r="E41" s="32" t="inlineStr">
        <is>
          <t>Risk QR-04</t>
        </is>
      </c>
      <c r="F41" s="32" t="inlineStr">
        <is>
          <t>QR-04</t>
        </is>
      </c>
      <c r="G41" s="32" t="inlineStr">
        <is>
          <t>ID format not validated by type</t>
        </is>
      </c>
      <c r="H41" s="32" t="inlineStr">
        <is>
          <t>On KYC step; ID types available (CONFIRM list).</t>
        </is>
      </c>
      <c r="I41" s="32" t="inlineStr">
        <is>
          <t>1. For each ID type enter a number in the wrong format.
2. Attempt to proceed.
3. Enter correct format.</t>
        </is>
      </c>
      <c r="J41" s="32" t="inlineStr">
        <is>
          <t>Wrong/right format per ID type</t>
        </is>
      </c>
      <c r="K41" s="32" t="inlineStr">
        <is>
          <t>Wrong formats rejected with type-specific error; correct formats accepted.
Also verify: the rejected value is not saved (reload or GET shows the previous/empty value).</t>
        </is>
      </c>
      <c r="L41" s="31" t="inlineStr">
        <is>
          <t>High</t>
        </is>
      </c>
      <c r="M41" s="31" t="inlineStr">
        <is>
          <t>P2</t>
        </is>
      </c>
      <c r="N41" s="31" t="n">
        <v>3</v>
      </c>
      <c r="O41" s="32" t="inlineStr">
        <is>
          <t>@regression kyc</t>
        </is>
      </c>
      <c r="P41" s="32" t="inlineStr">
        <is>
          <t>Screenshot per ID type</t>
        </is>
      </c>
      <c r="Q41" s="31" t="inlineStr">
        <is>
          <t>Automated</t>
        </is>
      </c>
      <c r="R41" s="32" t="inlineStr">
        <is>
          <t>tests/client-information/kyc.spec.ts</t>
        </is>
      </c>
      <c r="S41" s="31" t="inlineStr">
        <is>
          <t>Not run</t>
        </is>
      </c>
      <c r="T41" s="32" t="inlineStr">
        <is>
          <t>Exact value/rule to be confirmed from app (see Open Items).</t>
        </is>
      </c>
      <c r="U41" s="31" t="inlineStr">
        <is>
          <t>N</t>
        </is>
      </c>
      <c r="V41" s="31" t="inlineStr">
        <is>
          <t>Negative</t>
        </is>
      </c>
      <c r="W41" s="32" t="inlineStr">
        <is>
          <t>-</t>
        </is>
      </c>
      <c r="X41" s="32" t="inlineStr">
        <is>
          <t>Creates its own application via fixture (independent; unique generated data).</t>
        </is>
      </c>
    </row>
    <row r="42" ht="46.25" customHeight="1" s="23">
      <c r="A42" s="31" t="inlineStr">
        <is>
          <t>TC-KYC-03</t>
        </is>
      </c>
      <c r="B42" s="32" t="inlineStr">
        <is>
          <t>KYC upload rejects unsupported file type</t>
        </is>
      </c>
      <c r="C42" s="32" t="inlineStr">
        <is>
          <t>KYC &amp; Financial</t>
        </is>
      </c>
      <c r="D42" s="31" t="inlineStr">
        <is>
          <t>UI</t>
        </is>
      </c>
      <c r="E42" s="32" t="inlineStr">
        <is>
          <t>CLI-V09</t>
        </is>
      </c>
      <c r="F42" s="32" t="inlineStr">
        <is>
          <t>QR-04, QR-08</t>
        </is>
      </c>
      <c r="G42" s="32" t="inlineStr">
        <is>
          <t>Bad file types accepted</t>
        </is>
      </c>
      <c r="H42" s="32" t="inlineStr">
        <is>
          <t>On KYC document upload control.</t>
        </is>
      </c>
      <c r="I42" s="32" t="inlineStr">
        <is>
          <t>1. Upload sample.exe.
2. Upload sample.txt.</t>
        </is>
      </c>
      <c r="J42" s="32" t="inlineStr">
        <is>
          <t>invalid-type files from fixtures/files</t>
        </is>
      </c>
      <c r="K42" s="32" t="inlineStr">
        <is>
          <t>Both uploads rejected with unsupported-type message; no document listed as uploaded.
Also verify: the rejected value is not saved (reload or GET shows the previous/empty value).</t>
        </is>
      </c>
      <c r="L42" s="31" t="inlineStr">
        <is>
          <t>High</t>
        </is>
      </c>
      <c r="M42" s="31" t="inlineStr">
        <is>
          <t>P1</t>
        </is>
      </c>
      <c r="N42" s="31" t="n">
        <v>2</v>
      </c>
      <c r="O42" s="32" t="inlineStr">
        <is>
          <t>@regression kyc</t>
        </is>
      </c>
      <c r="P42" s="32" t="inlineStr">
        <is>
          <t>Screenshot of error</t>
        </is>
      </c>
      <c r="Q42" s="31" t="inlineStr">
        <is>
          <t>Automated</t>
        </is>
      </c>
      <c r="R42" s="32" t="inlineStr">
        <is>
          <t>tests/client-information/kyc.spec.ts</t>
        </is>
      </c>
      <c r="S42" s="31" t="inlineStr">
        <is>
          <t>Not run</t>
        </is>
      </c>
      <c r="T42" s="32" t="n"/>
      <c r="U42" s="31" t="inlineStr">
        <is>
          <t>N</t>
        </is>
      </c>
      <c r="V42" s="31" t="inlineStr">
        <is>
          <t>Negative</t>
        </is>
      </c>
      <c r="W42" s="32" t="inlineStr">
        <is>
          <t>-</t>
        </is>
      </c>
      <c r="X42" s="32" t="inlineStr">
        <is>
          <t>Creates its own application via fixture (independent; unique generated data).</t>
        </is>
      </c>
    </row>
    <row r="43" ht="46.25" customHeight="1" s="23">
      <c r="A43" s="31" t="inlineStr">
        <is>
          <t>TC-KYC-04</t>
        </is>
      </c>
      <c r="B43" s="32" t="inlineStr">
        <is>
          <t>PEP 'Yes' makes details mandatory</t>
        </is>
      </c>
      <c r="C43" s="32" t="inlineStr">
        <is>
          <t>KYC &amp; Financial</t>
        </is>
      </c>
      <c r="D43" s="31" t="inlineStr">
        <is>
          <t>UI</t>
        </is>
      </c>
      <c r="E43" s="32" t="inlineStr">
        <is>
          <t>CLI-V10</t>
        </is>
      </c>
      <c r="F43" s="32" t="inlineStr">
        <is>
          <t>QR-04</t>
        </is>
      </c>
      <c r="G43" s="32" t="inlineStr">
        <is>
          <t>PEP details optional</t>
        </is>
      </c>
      <c r="H43" s="32" t="inlineStr">
        <is>
          <t>On Compliance section.</t>
        </is>
      </c>
      <c r="I43" s="32" t="inlineStr">
        <is>
          <t>1. Select PEP = Yes.
2. Leave details blank and proceed.
3. Fill details and proceed.</t>
        </is>
      </c>
      <c r="J43" s="32" t="inlineStr">
        <is>
          <t>PEP detail text</t>
        </is>
      </c>
      <c r="K43" s="32" t="inlineStr">
        <is>
          <t>Details field appears and is mandatory; blank blocks progression; filled allows.
Also verify: the rejected value is not saved (reload or GET shows the previous/empty value).</t>
        </is>
      </c>
      <c r="L43" s="31" t="inlineStr">
        <is>
          <t>High</t>
        </is>
      </c>
      <c r="M43" s="31" t="inlineStr">
        <is>
          <t>P1</t>
        </is>
      </c>
      <c r="N43" s="31" t="n">
        <v>2</v>
      </c>
      <c r="O43" s="32" t="inlineStr">
        <is>
          <t>@regression kyc</t>
        </is>
      </c>
      <c r="P43" s="32" t="inlineStr">
        <is>
          <t>Screenshots before/after</t>
        </is>
      </c>
      <c r="Q43" s="31" t="inlineStr">
        <is>
          <t>Automated</t>
        </is>
      </c>
      <c r="R43" s="32" t="inlineStr">
        <is>
          <t>tests/client-information/kyc.spec.ts</t>
        </is>
      </c>
      <c r="S43" s="31" t="inlineStr">
        <is>
          <t>Not run</t>
        </is>
      </c>
      <c r="T43" s="32" t="n"/>
      <c r="U43" s="31" t="inlineStr">
        <is>
          <t>N</t>
        </is>
      </c>
      <c r="V43" s="31" t="inlineStr">
        <is>
          <t>Negative</t>
        </is>
      </c>
      <c r="W43" s="32" t="inlineStr">
        <is>
          <t>-</t>
        </is>
      </c>
      <c r="X43" s="32" t="inlineStr">
        <is>
          <t>Creates its own application via fixture (independent; unique generated data).</t>
        </is>
      </c>
    </row>
    <row r="44" ht="46.25" customHeight="1" s="23">
      <c r="A44" s="31" t="inlineStr">
        <is>
          <t>TC-KYC-05</t>
        </is>
      </c>
      <c r="B44" s="32" t="inlineStr">
        <is>
          <t>Income vs premium affordability validation is applied</t>
        </is>
      </c>
      <c r="C44" s="32" t="inlineStr">
        <is>
          <t>KYC &amp; Financial</t>
        </is>
      </c>
      <c r="D44" s="31" t="inlineStr">
        <is>
          <t>UI</t>
        </is>
      </c>
      <c r="E44" s="32" t="inlineStr">
        <is>
          <t>Risk QR-04 / QR-05</t>
        </is>
      </c>
      <c r="F44" s="32" t="inlineStr">
        <is>
          <t>QR-04, QR-05</t>
        </is>
      </c>
      <c r="G44" s="32" t="inlineStr">
        <is>
          <t>Affordability not applied</t>
        </is>
      </c>
      <c r="H44" s="32" t="inlineStr">
        <is>
          <t>Client with low annual income; product configured with high premium.</t>
        </is>
      </c>
      <c r="I44" s="32" t="inlineStr">
        <is>
          <t>1. Enter low income on KYC step.
2. Configure product so annual premium exceeds affordability threshold (CONFIRM).
3. Proceed to review.</t>
        </is>
      </c>
      <c r="J44" s="32" t="inlineStr">
        <is>
          <t>Income 100000 (example), high face value</t>
        </is>
      </c>
      <c r="K44" s="32" t="inlineStr">
        <is>
          <t>Affordability warning or block displayed according to confirmed rule.
Also verify: the rejected value is not saved (reload or GET shows the previous/empty value).</t>
        </is>
      </c>
      <c r="L44" s="31" t="inlineStr">
        <is>
          <t>High</t>
        </is>
      </c>
      <c r="M44" s="31" t="inlineStr">
        <is>
          <t>P2</t>
        </is>
      </c>
      <c r="N44" s="31" t="n">
        <v>3</v>
      </c>
      <c r="O44" s="32" t="inlineStr">
        <is>
          <t>@regression kyc</t>
        </is>
      </c>
      <c r="P44" s="32" t="inlineStr">
        <is>
          <t>Screenshot of warning</t>
        </is>
      </c>
      <c r="Q44" s="31" t="inlineStr">
        <is>
          <t>Automated</t>
        </is>
      </c>
      <c r="R44" s="32" t="inlineStr">
        <is>
          <t>tests/client-information/kyc.spec.ts</t>
        </is>
      </c>
      <c r="S44" s="31" t="inlineStr">
        <is>
          <t>Not run</t>
        </is>
      </c>
      <c r="T44" s="32" t="inlineStr">
        <is>
          <t>Exact value/rule to be confirmed from app (see Open Items).</t>
        </is>
      </c>
      <c r="U44" s="31" t="inlineStr">
        <is>
          <t>N</t>
        </is>
      </c>
      <c r="V44" s="31" t="inlineStr">
        <is>
          <t>Negative</t>
        </is>
      </c>
      <c r="W44" s="32" t="inlineStr">
        <is>
          <t>-</t>
        </is>
      </c>
      <c r="X44" s="32" t="inlineStr">
        <is>
          <t>Creates its own application via fixture (independent; unique generated data).</t>
        </is>
      </c>
    </row>
    <row r="45" ht="46.25" customHeight="1" s="23">
      <c r="A45" s="31" t="inlineStr">
        <is>
          <t>TC-KYC-06</t>
        </is>
      </c>
      <c r="B45" s="32" t="inlineStr">
        <is>
          <t>Incomplete compliance declaration blocks progression</t>
        </is>
      </c>
      <c r="C45" s="32" t="inlineStr">
        <is>
          <t>KYC &amp; Financial</t>
        </is>
      </c>
      <c r="D45" s="31" t="inlineStr">
        <is>
          <t>UI</t>
        </is>
      </c>
      <c r="E45" s="32" t="inlineStr">
        <is>
          <t>Functional spec: Compliance</t>
        </is>
      </c>
      <c r="F45" s="32" t="inlineStr">
        <is>
          <t>QR-04</t>
        </is>
      </c>
      <c r="G45" s="32" t="inlineStr">
        <is>
          <t>Declaration not enforced</t>
        </is>
      </c>
      <c r="H45" s="32" t="inlineStr">
        <is>
          <t>On KYC step.</t>
        </is>
      </c>
      <c r="I45" s="32" t="inlineStr">
        <is>
          <t>1. Leave PEP/declaration unanswered.
2. Proceed.</t>
        </is>
      </c>
      <c r="J45" s="32" t="inlineStr">
        <is>
          <t>Empty declaration</t>
        </is>
      </c>
      <c r="K45" s="32" t="inlineStr">
        <is>
          <t>Progression blocked with message on unanswered declaration.
Also verify: the rejected value is not saved (reload or GET shows the previous/empty value).</t>
        </is>
      </c>
      <c r="L45" s="31" t="inlineStr">
        <is>
          <t>Medium</t>
        </is>
      </c>
      <c r="M45" s="31" t="inlineStr">
        <is>
          <t>P2</t>
        </is>
      </c>
      <c r="N45" s="31" t="n">
        <v>3</v>
      </c>
      <c r="O45" s="32" t="inlineStr">
        <is>
          <t>@regression kyc</t>
        </is>
      </c>
      <c r="P45" s="32" t="inlineStr">
        <is>
          <t>Screenshot</t>
        </is>
      </c>
      <c r="Q45" s="31" t="inlineStr">
        <is>
          <t>Automated</t>
        </is>
      </c>
      <c r="R45" s="32" t="inlineStr">
        <is>
          <t>tests/client-information/kyc.spec.ts</t>
        </is>
      </c>
      <c r="S45" s="31" t="inlineStr">
        <is>
          <t>Not run</t>
        </is>
      </c>
      <c r="T45" s="32" t="n"/>
      <c r="U45" s="31" t="inlineStr">
        <is>
          <t>N</t>
        </is>
      </c>
      <c r="V45" s="31" t="inlineStr">
        <is>
          <t>Negative</t>
        </is>
      </c>
      <c r="W45" s="32" t="inlineStr">
        <is>
          <t>-</t>
        </is>
      </c>
      <c r="X45" s="32" t="inlineStr">
        <is>
          <t>Creates its own application via fixture (independent; unique generated data).</t>
        </is>
      </c>
    </row>
    <row r="46" ht="23.85" customHeight="1" s="23">
      <c r="A46" s="31" t="inlineStr">
        <is>
          <t>TC-KYC-07</t>
        </is>
      </c>
      <c r="B46" s="32" t="inlineStr">
        <is>
          <t>Sensitive ID is not returned unmasked in client API response</t>
        </is>
      </c>
      <c r="C46" s="32" t="inlineStr">
        <is>
          <t>KYC &amp; Financial</t>
        </is>
      </c>
      <c r="D46" s="31" t="inlineStr">
        <is>
          <t>API</t>
        </is>
      </c>
      <c r="E46" s="32" t="inlineStr">
        <is>
          <t>Spec: SSN masking</t>
        </is>
      </c>
      <c r="F46" s="32" t="inlineStr">
        <is>
          <t>QR-04</t>
        </is>
      </c>
      <c r="G46" s="32" t="inlineStr">
        <is>
          <t>SSN exposed in response</t>
        </is>
      </c>
      <c r="H46" s="32" t="inlineStr">
        <is>
          <t>Application with saved SSN; authenticated request context.</t>
        </is>
      </c>
      <c r="I46" s="32" t="inlineStr">
        <is>
          <t>1. GET /api/applications/{id}/client.
2. Inspect SSN field(s).</t>
        </is>
      </c>
      <c r="J46" s="32" t="inlineStr">
        <is>
          <t>Application from TC-KYC-01</t>
        </is>
      </c>
      <c r="K46" s="32" t="inlineStr">
        <is>
          <t>SSN returned masked (last four only) or absent; full value not present anywhere in body.</t>
        </is>
      </c>
      <c r="L46" s="31" t="inlineStr">
        <is>
          <t>Critical</t>
        </is>
      </c>
      <c r="M46" s="31" t="inlineStr">
        <is>
          <t>P1</t>
        </is>
      </c>
      <c r="N46" s="31" t="n">
        <v>2</v>
      </c>
      <c r="O46" s="32" t="inlineStr">
        <is>
          <t>@api @regression kyc</t>
        </is>
      </c>
      <c r="P46" s="32" t="inlineStr">
        <is>
          <t>Response body saved with value redacted</t>
        </is>
      </c>
      <c r="Q46" s="31" t="inlineStr">
        <is>
          <t>Automated</t>
        </is>
      </c>
      <c r="R46" s="32" t="inlineStr">
        <is>
          <t>tests/api/client-api.spec.ts</t>
        </is>
      </c>
      <c r="S46" s="31" t="inlineStr">
        <is>
          <t>Not run</t>
        </is>
      </c>
      <c r="T46" s="32" t="n"/>
      <c r="U46" s="31" t="inlineStr">
        <is>
          <t>Y</t>
        </is>
      </c>
      <c r="V46" s="31" t="inlineStr">
        <is>
          <t>Positive</t>
        </is>
      </c>
      <c r="W46" s="32" t="inlineStr">
        <is>
          <t>-</t>
        </is>
      </c>
      <c r="X46" s="32" t="inlineStr">
        <is>
          <t>Creates its own application via fixture (independent; unique generated data).</t>
        </is>
      </c>
    </row>
    <row r="47" ht="57.45" customHeight="1" s="23">
      <c r="A47" s="31" t="inlineStr">
        <is>
          <t>TC-KYC-08</t>
        </is>
      </c>
      <c r="B47" s="32" t="inlineStr">
        <is>
          <t>Financial suitability fields are mandatory and numeric-validated</t>
        </is>
      </c>
      <c r="C47" s="32" t="inlineStr">
        <is>
          <t>KYC &amp; Financial</t>
        </is>
      </c>
      <c r="D47" s="31" t="inlineStr">
        <is>
          <t>UI</t>
        </is>
      </c>
      <c r="E47" s="32" t="inlineStr">
        <is>
          <t>Spec: income, net worth, source of funds, risk profile</t>
        </is>
      </c>
      <c r="F47" s="32" t="inlineStr">
        <is>
          <t>QR-04</t>
        </is>
      </c>
      <c r="G47" s="32" t="inlineStr">
        <is>
          <t>Financial fields skipped / invalid values accepted</t>
        </is>
      </c>
      <c r="H47" s="32" t="inlineStr">
        <is>
          <t>On KYC step.</t>
        </is>
      </c>
      <c r="I47" s="32" t="inlineStr">
        <is>
          <t>1. Leave income, net worth, source of funds and risk profile empty; proceed.
2. Enter negative and non-numeric income/net worth; proceed.
3. Enter valid values.</t>
        </is>
      </c>
      <c r="J47" s="32" t="inlineStr">
        <is>
          <t>Empty; -1; 'abc'; valid income and net worth</t>
        </is>
      </c>
      <c r="K47" s="32" t="inlineStr">
        <is>
          <t>Empty and invalid values blocked with field-level errors; valid values accepted.
Also verify: the rejected value is not saved (reload or GET shows the previous/empty value).</t>
        </is>
      </c>
      <c r="L47" s="31" t="inlineStr">
        <is>
          <t>High</t>
        </is>
      </c>
      <c r="M47" s="31" t="inlineStr">
        <is>
          <t>P2</t>
        </is>
      </c>
      <c r="N47" s="31" t="n">
        <v>2</v>
      </c>
      <c r="O47" s="32" t="inlineStr">
        <is>
          <t>@regression kyc</t>
        </is>
      </c>
      <c r="P47" s="32" t="inlineStr">
        <is>
          <t>Screenshots</t>
        </is>
      </c>
      <c r="Q47" s="31" t="inlineStr">
        <is>
          <t>Automated</t>
        </is>
      </c>
      <c r="R47" s="32" t="inlineStr">
        <is>
          <t>tests/client-information/kyc.spec.ts</t>
        </is>
      </c>
      <c r="S47" s="31" t="inlineStr">
        <is>
          <t>Not run</t>
        </is>
      </c>
      <c r="T47" s="32" t="n"/>
      <c r="U47" s="31" t="inlineStr">
        <is>
          <t>N</t>
        </is>
      </c>
      <c r="V47" s="31" t="inlineStr">
        <is>
          <t>Negative</t>
        </is>
      </c>
      <c r="W47" s="32" t="inlineStr">
        <is>
          <t>-</t>
        </is>
      </c>
      <c r="X47" s="32" t="inlineStr">
        <is>
          <t>Creates its own application via fixture (independent; unique generated data).</t>
        </is>
      </c>
    </row>
    <row r="48" ht="46.25" customHeight="1" s="23">
      <c r="A48" s="31" t="inlineStr">
        <is>
          <t>TC-KYC-09</t>
        </is>
      </c>
      <c r="B48" s="32" t="inlineStr">
        <is>
          <t>ID issue/expiry dates are validated</t>
        </is>
      </c>
      <c r="C48" s="32" t="inlineStr">
        <is>
          <t>KYC &amp; Financial</t>
        </is>
      </c>
      <c r="D48" s="31" t="inlineStr">
        <is>
          <t>UI</t>
        </is>
      </c>
      <c r="E48" s="32" t="inlineStr">
        <is>
          <t>Spec: ID issue/expiry date</t>
        </is>
      </c>
      <c r="F48" s="32" t="inlineStr">
        <is>
          <t>QR-04</t>
        </is>
      </c>
      <c r="G48" s="32" t="inlineStr">
        <is>
          <t>Expired or inconsistent ID accepted</t>
        </is>
      </c>
      <c r="H48" s="32" t="inlineStr">
        <is>
          <t>On KYC step.</t>
        </is>
      </c>
      <c r="I48" s="32" t="inlineStr">
        <is>
          <t>1. Enter an expiry date in the past.
2. Enter expiry earlier than issue date.
3. Enter issue date in the future.
4. Enter valid dates.</t>
        </is>
      </c>
      <c r="J48" s="32" t="inlineStr">
        <is>
          <t>Past expiry; expiry &lt; issue; future issue; valid</t>
        </is>
      </c>
      <c r="K48" s="32" t="inlineStr">
        <is>
          <t>Cases 1-3 rejected with clear errors (rule CONFIRM); valid dates accepted.
Also verify: the rejected value is not saved (reload or GET shows the previous/empty value).</t>
        </is>
      </c>
      <c r="L48" s="31" t="inlineStr">
        <is>
          <t>Medium</t>
        </is>
      </c>
      <c r="M48" s="31" t="inlineStr">
        <is>
          <t>P2</t>
        </is>
      </c>
      <c r="N48" s="31" t="n">
        <v>3</v>
      </c>
      <c r="O48" s="32" t="inlineStr">
        <is>
          <t>@regression kyc</t>
        </is>
      </c>
      <c r="P48" s="32" t="inlineStr">
        <is>
          <t>Screenshots</t>
        </is>
      </c>
      <c r="Q48" s="31" t="inlineStr">
        <is>
          <t>Automated</t>
        </is>
      </c>
      <c r="R48" s="32" t="inlineStr">
        <is>
          <t>tests/client-information/kyc.spec.ts</t>
        </is>
      </c>
      <c r="S48" s="31" t="inlineStr">
        <is>
          <t>Not run</t>
        </is>
      </c>
      <c r="T48" s="32" t="inlineStr">
        <is>
          <t>Exact value/rule to be confirmed from app (see Open Items).</t>
        </is>
      </c>
      <c r="U48" s="31" t="inlineStr">
        <is>
          <t>N</t>
        </is>
      </c>
      <c r="V48" s="31" t="inlineStr">
        <is>
          <t>Negative</t>
        </is>
      </c>
      <c r="W48" s="32" t="inlineStr">
        <is>
          <t>-</t>
        </is>
      </c>
      <c r="X48" s="32" t="inlineStr">
        <is>
          <t>Creates its own application via fixture (independent; unique generated data).</t>
        </is>
      </c>
    </row>
    <row r="49" ht="35.05" customHeight="1" s="23">
      <c r="A49" s="31" t="inlineStr">
        <is>
          <t>TC-PROD-01</t>
        </is>
      </c>
      <c r="B49" s="32" t="inlineStr">
        <is>
          <t>Catalog lists expected Whole Life products</t>
        </is>
      </c>
      <c r="C49" s="32" t="inlineStr">
        <is>
          <t>Product &amp; Policy</t>
        </is>
      </c>
      <c r="D49" s="31" t="inlineStr">
        <is>
          <t>UI</t>
        </is>
      </c>
      <c r="E49" s="32" t="inlineStr">
        <is>
          <t>PROD-V01</t>
        </is>
      </c>
      <c r="F49" s="32" t="inlineStr">
        <is>
          <t>QR-05</t>
        </is>
      </c>
      <c r="G49" s="32" t="inlineStr">
        <is>
          <t>Product missing/wrong in catalog</t>
        </is>
      </c>
      <c r="H49" s="32" t="inlineStr">
        <is>
          <t>Logged in; /products reachable.</t>
        </is>
      </c>
      <c r="I49" s="32" t="inlineStr">
        <is>
          <t>1. Open /products.
2. Read product cards.</t>
        </is>
      </c>
      <c r="J49" s="32" t="inlineStr">
        <is>
          <t>Expected product names (from seed, CONFIRM)</t>
        </is>
      </c>
      <c r="K49" s="32" t="inlineStr">
        <is>
          <t>Expected active products are shown with names and key details.</t>
        </is>
      </c>
      <c r="L49" s="31" t="inlineStr">
        <is>
          <t>Medium</t>
        </is>
      </c>
      <c r="M49" s="31" t="inlineStr">
        <is>
          <t>P2</t>
        </is>
      </c>
      <c r="N49" s="31" t="n">
        <v>2</v>
      </c>
      <c r="O49" s="32" t="inlineStr">
        <is>
          <t>@regression product</t>
        </is>
      </c>
      <c r="P49" s="32" t="inlineStr">
        <is>
          <t>Screenshot of catalog</t>
        </is>
      </c>
      <c r="Q49" s="31" t="inlineStr">
        <is>
          <t>Automated</t>
        </is>
      </c>
      <c r="R49" s="32" t="inlineStr">
        <is>
          <t>tests/product-selection/catalog.spec.ts</t>
        </is>
      </c>
      <c r="S49" s="31" t="inlineStr">
        <is>
          <t>Not run</t>
        </is>
      </c>
      <c r="T49" s="32" t="inlineStr">
        <is>
          <t>Exact value/rule to be confirmed from app (see Open Items).</t>
        </is>
      </c>
      <c r="U49" s="31" t="inlineStr">
        <is>
          <t>N</t>
        </is>
      </c>
      <c r="V49" s="31" t="inlineStr">
        <is>
          <t>Positive</t>
        </is>
      </c>
      <c r="W49" s="32" t="inlineStr">
        <is>
          <t>-</t>
        </is>
      </c>
      <c r="X49" s="32" t="inlineStr">
        <is>
          <t>Creates its own application via fixture (independent; unique generated data).</t>
        </is>
      </c>
    </row>
    <row r="50" ht="23.85" customHeight="1" s="23">
      <c r="A50" s="31" t="inlineStr">
        <is>
          <t>TC-PROD-02</t>
        </is>
      </c>
      <c r="B50" s="32" t="inlineStr">
        <is>
          <t>Product detail page shows features, eligibility and limits</t>
        </is>
      </c>
      <c r="C50" s="32" t="inlineStr">
        <is>
          <t>Product &amp; Policy</t>
        </is>
      </c>
      <c r="D50" s="31" t="inlineStr">
        <is>
          <t>UI</t>
        </is>
      </c>
      <c r="E50" s="32" t="inlineStr">
        <is>
          <t>PROD-V02</t>
        </is>
      </c>
      <c r="F50" s="32" t="inlineStr">
        <is>
          <t>QR-05</t>
        </is>
      </c>
      <c r="G50" s="32" t="inlineStr">
        <is>
          <t>Product detail incorrect</t>
        </is>
      </c>
      <c r="H50" s="32" t="inlineStr">
        <is>
          <t>On /products.</t>
        </is>
      </c>
      <c r="I50" s="32" t="inlineStr">
        <is>
          <t>1. Click a product.
2. Read detail page.</t>
        </is>
      </c>
      <c r="J50" s="32" t="inlineStr">
        <is>
          <t>First active product</t>
        </is>
      </c>
      <c r="K50" s="32" t="inlineStr">
        <is>
          <t>/products/:id opens; features, eligibility and coverage limits visible.</t>
        </is>
      </c>
      <c r="L50" s="31" t="inlineStr">
        <is>
          <t>Medium</t>
        </is>
      </c>
      <c r="M50" s="31" t="inlineStr">
        <is>
          <t>P3</t>
        </is>
      </c>
      <c r="N50" s="31" t="n">
        <v>2</v>
      </c>
      <c r="O50" s="32" t="inlineStr">
        <is>
          <t>@regression product</t>
        </is>
      </c>
      <c r="P50" s="32" t="inlineStr">
        <is>
          <t>Screenshot of detail page</t>
        </is>
      </c>
      <c r="Q50" s="31" t="inlineStr">
        <is>
          <t>Automated</t>
        </is>
      </c>
      <c r="R50" s="32" t="inlineStr">
        <is>
          <t>tests/product-selection/catalog.spec.ts</t>
        </is>
      </c>
      <c r="S50" s="31" t="inlineStr">
        <is>
          <t>Not run</t>
        </is>
      </c>
      <c r="T50" s="32" t="n"/>
      <c r="U50" s="31" t="inlineStr">
        <is>
          <t>N</t>
        </is>
      </c>
      <c r="V50" s="31" t="inlineStr">
        <is>
          <t>Positive</t>
        </is>
      </c>
      <c r="W50" s="32" t="inlineStr">
        <is>
          <t>-</t>
        </is>
      </c>
      <c r="X50" s="32" t="inlineStr">
        <is>
          <t>Creates its own application via fixture (independent; unique generated data).</t>
        </is>
      </c>
    </row>
    <row r="51" ht="46.25" customHeight="1" s="23">
      <c r="A51" s="31" t="inlineStr">
        <is>
          <t>TC-PROD-03</t>
        </is>
      </c>
      <c r="B51" s="32" t="inlineStr">
        <is>
          <t>Face value below minimum is rejected</t>
        </is>
      </c>
      <c r="C51" s="32" t="inlineStr">
        <is>
          <t>Product &amp; Policy</t>
        </is>
      </c>
      <c r="D51" s="31" t="inlineStr">
        <is>
          <t>UI</t>
        </is>
      </c>
      <c r="E51" s="32" t="inlineStr">
        <is>
          <t>PROD-V03</t>
        </is>
      </c>
      <c r="F51" s="32" t="inlineStr">
        <is>
          <t>QR-05</t>
        </is>
      </c>
      <c r="G51" s="32" t="inlineStr">
        <is>
          <t>Face value minimum not enforced</t>
        </is>
      </c>
      <c r="H51" s="32" t="inlineStr">
        <is>
          <t>Product selected; limits known (CONFIRM).</t>
        </is>
      </c>
      <c r="I51" s="32" t="inlineStr">
        <is>
          <t>1. Enter face value = min - 1.
2. Attempt to save.
3. Enter exactly min.</t>
        </is>
      </c>
      <c r="J51" s="32" t="inlineStr">
        <is>
          <t>MIN_FACE_VALUE (from product detail)</t>
        </is>
      </c>
      <c r="K51" s="32" t="inlineStr">
        <is>
          <t>min-1 rejected with validation; exactly min accepted.
Also verify: the rejected value is not saved (reload or GET shows the previous/empty value).</t>
        </is>
      </c>
      <c r="L51" s="31" t="inlineStr">
        <is>
          <t>High</t>
        </is>
      </c>
      <c r="M51" s="31" t="inlineStr">
        <is>
          <t>P1</t>
        </is>
      </c>
      <c r="N51" s="31" t="n">
        <v>2</v>
      </c>
      <c r="O51" s="32" t="inlineStr">
        <is>
          <t>@regression product</t>
        </is>
      </c>
      <c r="P51" s="32" t="inlineStr">
        <is>
          <t>Screenshots of both boundaries</t>
        </is>
      </c>
      <c r="Q51" s="31" t="inlineStr">
        <is>
          <t>Automated</t>
        </is>
      </c>
      <c r="R51" s="32" t="inlineStr">
        <is>
          <t>tests/product-selection/face-value.spec.ts</t>
        </is>
      </c>
      <c r="S51" s="31" t="inlineStr">
        <is>
          <t>Not run</t>
        </is>
      </c>
      <c r="T51" s="32" t="inlineStr">
        <is>
          <t>Exact value/rule to be confirmed from app (see Open Items).</t>
        </is>
      </c>
      <c r="U51" s="31" t="inlineStr">
        <is>
          <t>N</t>
        </is>
      </c>
      <c r="V51" s="31" t="inlineStr">
        <is>
          <t>Boundary</t>
        </is>
      </c>
      <c r="W51" s="32" t="inlineStr">
        <is>
          <t>-</t>
        </is>
      </c>
      <c r="X51" s="32" t="inlineStr">
        <is>
          <t>Creates its own application via fixture (independent; unique generated data).</t>
        </is>
      </c>
    </row>
    <row r="52" ht="46.25" customHeight="1" s="23">
      <c r="A52" s="31" t="inlineStr">
        <is>
          <t>TC-PROD-04</t>
        </is>
      </c>
      <c r="B52" s="32" t="inlineStr">
        <is>
          <t>Face value above maximum is rejected</t>
        </is>
      </c>
      <c r="C52" s="32" t="inlineStr">
        <is>
          <t>Product &amp; Policy</t>
        </is>
      </c>
      <c r="D52" s="31" t="inlineStr">
        <is>
          <t>UI</t>
        </is>
      </c>
      <c r="E52" s="32" t="inlineStr">
        <is>
          <t>PROD-V04</t>
        </is>
      </c>
      <c r="F52" s="32" t="inlineStr">
        <is>
          <t>QR-05</t>
        </is>
      </c>
      <c r="G52" s="32" t="inlineStr">
        <is>
          <t>Face value maximum not enforced</t>
        </is>
      </c>
      <c r="H52" s="32" t="inlineStr">
        <is>
          <t>Product selected; limits known.</t>
        </is>
      </c>
      <c r="I52" s="32" t="inlineStr">
        <is>
          <t>1. Enter face value = max + 1.
2. Attempt to save.
3. Enter exactly max.</t>
        </is>
      </c>
      <c r="J52" s="32" t="inlineStr">
        <is>
          <t>MAX_FACE_VALUE</t>
        </is>
      </c>
      <c r="K52" s="32" t="inlineStr">
        <is>
          <t>max+1 rejected with validation; exactly max accepted.
Also verify: the rejected value is not saved (reload or GET shows the previous/empty value).</t>
        </is>
      </c>
      <c r="L52" s="31" t="inlineStr">
        <is>
          <t>High</t>
        </is>
      </c>
      <c r="M52" s="31" t="inlineStr">
        <is>
          <t>P1</t>
        </is>
      </c>
      <c r="N52" s="31" t="n">
        <v>2</v>
      </c>
      <c r="O52" s="32" t="inlineStr">
        <is>
          <t>@regression product</t>
        </is>
      </c>
      <c r="P52" s="32" t="inlineStr">
        <is>
          <t>Screenshots of both boundaries</t>
        </is>
      </c>
      <c r="Q52" s="31" t="inlineStr">
        <is>
          <t>Automated</t>
        </is>
      </c>
      <c r="R52" s="32" t="inlineStr">
        <is>
          <t>tests/product-selection/face-value.spec.ts</t>
        </is>
      </c>
      <c r="S52" s="31" t="inlineStr">
        <is>
          <t>Not run</t>
        </is>
      </c>
      <c r="T52" s="32" t="n"/>
      <c r="U52" s="31" t="inlineStr">
        <is>
          <t>N</t>
        </is>
      </c>
      <c r="V52" s="31" t="inlineStr">
        <is>
          <t>Boundary</t>
        </is>
      </c>
      <c r="W52" s="32" t="inlineStr">
        <is>
          <t>-</t>
        </is>
      </c>
      <c r="X52" s="32" t="inlineStr">
        <is>
          <t>Creates its own application via fixture (independent; unique generated data).</t>
        </is>
      </c>
    </row>
    <row r="53" ht="23.85" customHeight="1" s="23">
      <c r="A53" s="31" t="inlineStr">
        <is>
          <t>TC-PROD-05</t>
        </is>
      </c>
      <c r="B53" s="32" t="inlineStr">
        <is>
          <t>Premium recalculates when frequency changes</t>
        </is>
      </c>
      <c r="C53" s="32" t="inlineStr">
        <is>
          <t>Product &amp; Policy</t>
        </is>
      </c>
      <c r="D53" s="31" t="inlineStr">
        <is>
          <t>UI</t>
        </is>
      </c>
      <c r="E53" s="32" t="inlineStr">
        <is>
          <t>PROD-V05</t>
        </is>
      </c>
      <c r="F53" s="32" t="inlineStr">
        <is>
          <t>QR-05</t>
        </is>
      </c>
      <c r="G53" s="32" t="inlineStr">
        <is>
          <t>Premium not recalculated on frequency change</t>
        </is>
      </c>
      <c r="H53" s="32" t="inlineStr">
        <is>
          <t>Valid face value entered.</t>
        </is>
      </c>
      <c r="I53" s="32" t="inlineStr">
        <is>
          <t>1. Note premium for Monthly.
2. Switch to Quarterly, Semi-annual, Annual and note each.</t>
        </is>
      </c>
      <c r="J53" s="32" t="inlineStr">
        <is>
          <t>Fixed face value</t>
        </is>
      </c>
      <c r="K53" s="32" t="inlineStr">
        <is>
          <t>Displayed premium changes for each frequency and matches API/formula once confirmed.</t>
        </is>
      </c>
      <c r="L53" s="31" t="inlineStr">
        <is>
          <t>High</t>
        </is>
      </c>
      <c r="M53" s="31" t="inlineStr">
        <is>
          <t>P1</t>
        </is>
      </c>
      <c r="N53" s="31" t="n">
        <v>2</v>
      </c>
      <c r="O53" s="32" t="inlineStr">
        <is>
          <t>@regression product</t>
        </is>
      </c>
      <c r="P53" s="32" t="inlineStr">
        <is>
          <t>Table of frequency vs premium in log</t>
        </is>
      </c>
      <c r="Q53" s="31" t="inlineStr">
        <is>
          <t>Automated</t>
        </is>
      </c>
      <c r="R53" s="32" t="inlineStr">
        <is>
          <t>tests/product-selection/premium.spec.ts</t>
        </is>
      </c>
      <c r="S53" s="31" t="inlineStr">
        <is>
          <t>Not run</t>
        </is>
      </c>
      <c r="T53" s="32" t="n"/>
      <c r="U53" s="31" t="inlineStr">
        <is>
          <t>Y</t>
        </is>
      </c>
      <c r="V53" s="31" t="inlineStr">
        <is>
          <t>Positive</t>
        </is>
      </c>
      <c r="W53" s="32" t="inlineStr">
        <is>
          <t>API: premium field (if exposed)</t>
        </is>
      </c>
      <c r="X53" s="32" t="inlineStr">
        <is>
          <t>Creates its own application via fixture (independent; unique generated data).</t>
        </is>
      </c>
    </row>
    <row r="54" ht="35.05" customHeight="1" s="23">
      <c r="A54" s="31" t="inlineStr">
        <is>
          <t>TC-PROD-06</t>
        </is>
      </c>
      <c r="B54" s="32" t="inlineStr">
        <is>
          <t>Review-page premium equals configuration-page premium</t>
        </is>
      </c>
      <c r="C54" s="32" t="inlineStr">
        <is>
          <t>Product &amp; Policy</t>
        </is>
      </c>
      <c r="D54" s="31" t="inlineStr">
        <is>
          <t>UI</t>
        </is>
      </c>
      <c r="E54" s="32" t="inlineStr">
        <is>
          <t>PROD-V06</t>
        </is>
      </c>
      <c r="F54" s="32" t="inlineStr">
        <is>
          <t>QR-05</t>
        </is>
      </c>
      <c r="G54" s="32" t="inlineStr">
        <is>
          <t>Review premium differs from config</t>
        </is>
      </c>
      <c r="H54" s="32" t="inlineStr">
        <is>
          <t>Application configured through product step.</t>
        </is>
      </c>
      <c r="I54" s="32" t="inlineStr">
        <is>
          <t>1. Capture premium on configuration page.
2. Navigate to /review.
3. Compare.</t>
        </is>
      </c>
      <c r="J54" s="32" t="inlineStr">
        <is>
          <t>Configured application</t>
        </is>
      </c>
      <c r="K54" s="32" t="inlineStr">
        <is>
          <t>Premium values are identical (same currency/rounding).</t>
        </is>
      </c>
      <c r="L54" s="31" t="inlineStr">
        <is>
          <t>High</t>
        </is>
      </c>
      <c r="M54" s="31" t="inlineStr">
        <is>
          <t>P1</t>
        </is>
      </c>
      <c r="N54" s="31" t="n">
        <v>2</v>
      </c>
      <c r="O54" s="32" t="inlineStr">
        <is>
          <t>@regression product</t>
        </is>
      </c>
      <c r="P54" s="32" t="inlineStr">
        <is>
          <t>Screenshots of both pages</t>
        </is>
      </c>
      <c r="Q54" s="31" t="inlineStr">
        <is>
          <t>Automated</t>
        </is>
      </c>
      <c r="R54" s="32" t="inlineStr">
        <is>
          <t>tests/product-selection/premium.spec.ts</t>
        </is>
      </c>
      <c r="S54" s="31" t="inlineStr">
        <is>
          <t>Not run</t>
        </is>
      </c>
      <c r="T54" s="32" t="n"/>
      <c r="U54" s="31" t="inlineStr">
        <is>
          <t>Y</t>
        </is>
      </c>
      <c r="V54" s="31" t="inlineStr">
        <is>
          <t>Positive</t>
        </is>
      </c>
      <c r="W54" s="32" t="inlineStr">
        <is>
          <t>API: premium on review payload</t>
        </is>
      </c>
      <c r="X54" s="32" t="inlineStr">
        <is>
          <t>Creates its own application via fixture (independent; unique generated data).</t>
        </is>
      </c>
    </row>
    <row r="55" ht="35.05" customHeight="1" s="23">
      <c r="A55" s="31" t="inlineStr">
        <is>
          <t>TC-PROD-07</t>
        </is>
      </c>
      <c r="B55" s="32" t="inlineStr">
        <is>
          <t>Suitability warning appears for risk-profile mismatch</t>
        </is>
      </c>
      <c r="C55" s="32" t="inlineStr">
        <is>
          <t>Product &amp; Policy</t>
        </is>
      </c>
      <c r="D55" s="31" t="inlineStr">
        <is>
          <t>UI</t>
        </is>
      </c>
      <c r="E55" s="32" t="inlineStr">
        <is>
          <t>PROD-V07</t>
        </is>
      </c>
      <c r="F55" s="32" t="inlineStr">
        <is>
          <t>QR-05</t>
        </is>
      </c>
      <c r="G55" s="32" t="inlineStr">
        <is>
          <t>No suitability warning</t>
        </is>
      </c>
      <c r="H55" s="32" t="inlineStr">
        <is>
          <t>KYC risk profile set to conservative; high-risk product/amount chosen.</t>
        </is>
      </c>
      <c r="I55" s="32" t="inlineStr">
        <is>
          <t>1. Set risk profile on KYC.
2. Select mismatching product/face value.</t>
        </is>
      </c>
      <c r="J55" s="32" t="inlineStr">
        <is>
          <t>Risk profile = low (CONFIRM)</t>
        </is>
      </c>
      <c r="K55" s="32" t="inlineStr">
        <is>
          <t>Suitability warning visible.
Also verify: the rejected value is not saved (reload or GET shows the previous/empty value).</t>
        </is>
      </c>
      <c r="L55" s="31" t="inlineStr">
        <is>
          <t>Medium</t>
        </is>
      </c>
      <c r="M55" s="31" t="inlineStr">
        <is>
          <t>P2</t>
        </is>
      </c>
      <c r="N55" s="31" t="n">
        <v>3</v>
      </c>
      <c r="O55" s="32" t="inlineStr">
        <is>
          <t>@regression product</t>
        </is>
      </c>
      <c r="P55" s="32" t="inlineStr">
        <is>
          <t>Screenshot of warning</t>
        </is>
      </c>
      <c r="Q55" s="31" t="inlineStr">
        <is>
          <t>Automated</t>
        </is>
      </c>
      <c r="R55" s="32" t="inlineStr">
        <is>
          <t>tests/product-selection/suitability.spec.ts</t>
        </is>
      </c>
      <c r="S55" s="31" t="inlineStr">
        <is>
          <t>Not run</t>
        </is>
      </c>
      <c r="T55" s="32" t="inlineStr">
        <is>
          <t>Exact value/rule to be confirmed from app (see Open Items).</t>
        </is>
      </c>
      <c r="U55" s="31" t="inlineStr">
        <is>
          <t>N</t>
        </is>
      </c>
      <c r="V55" s="31" t="inlineStr">
        <is>
          <t>Negative</t>
        </is>
      </c>
      <c r="W55" s="32" t="inlineStr">
        <is>
          <t>-</t>
        </is>
      </c>
      <c r="X55" s="32" t="inlineStr">
        <is>
          <t>Creates its own application via fixture (independent; unique generated data).</t>
        </is>
      </c>
    </row>
    <row r="56" ht="46.25" customHeight="1" s="23">
      <c r="A56" s="31" t="inlineStr">
        <is>
          <t>TC-PROD-08</t>
        </is>
      </c>
      <c r="B56" s="32" t="inlineStr">
        <is>
          <t>Inactive product cannot be selected</t>
        </is>
      </c>
      <c r="C56" s="32" t="inlineStr">
        <is>
          <t>Product &amp; Policy</t>
        </is>
      </c>
      <c r="D56" s="31" t="inlineStr">
        <is>
          <t>UI</t>
        </is>
      </c>
      <c r="E56" s="32" t="inlineStr">
        <is>
          <t>Guideline: inactive products</t>
        </is>
      </c>
      <c r="F56" s="32" t="inlineStr">
        <is>
          <t>QR-05</t>
        </is>
      </c>
      <c r="G56" s="32" t="inlineStr">
        <is>
          <t>Inactive product selectable</t>
        </is>
      </c>
      <c r="H56" s="32" t="inlineStr">
        <is>
          <t>At least one inactive product in seed data (CONFIRM).</t>
        </is>
      </c>
      <c r="I56" s="32" t="inlineStr">
        <is>
          <t>1. Look for inactive product in catalog.
2. Try to select/configure it (UI and direct URL).</t>
        </is>
      </c>
      <c r="J56" s="32" t="inlineStr">
        <is>
          <t>Inactive product id</t>
        </is>
      </c>
      <c r="K56" s="32" t="inlineStr">
        <is>
          <t>Inactive product is hidden or select action disabled; direct URL/API does not allow configuration.
Also verify: the rejected value is not saved (reload or GET shows the previous/empty value).</t>
        </is>
      </c>
      <c r="L56" s="31" t="inlineStr">
        <is>
          <t>High</t>
        </is>
      </c>
      <c r="M56" s="31" t="inlineStr">
        <is>
          <t>P2</t>
        </is>
      </c>
      <c r="N56" s="31" t="n">
        <v>3</v>
      </c>
      <c r="O56" s="32" t="inlineStr">
        <is>
          <t>@regression product</t>
        </is>
      </c>
      <c r="P56" s="32" t="inlineStr">
        <is>
          <t>Screenshot</t>
        </is>
      </c>
      <c r="Q56" s="31" t="inlineStr">
        <is>
          <t>Automated</t>
        </is>
      </c>
      <c r="R56" s="32" t="inlineStr">
        <is>
          <t>tests/product-selection/catalog.spec.ts</t>
        </is>
      </c>
      <c r="S56" s="31" t="inlineStr">
        <is>
          <t>Not run</t>
        </is>
      </c>
      <c r="T56" s="32" t="inlineStr">
        <is>
          <t>Exact value/rule to be confirmed from app (see Open Items).</t>
        </is>
      </c>
      <c r="U56" s="31" t="inlineStr">
        <is>
          <t>N</t>
        </is>
      </c>
      <c r="V56" s="31" t="inlineStr">
        <is>
          <t>Negative</t>
        </is>
      </c>
      <c r="W56" s="32" t="inlineStr">
        <is>
          <t>-</t>
        </is>
      </c>
      <c r="X56" s="32" t="inlineStr">
        <is>
          <t>Creates its own application via fixture (independent; unique generated data).</t>
        </is>
      </c>
    </row>
    <row r="57" ht="35.05" customHeight="1" s="23">
      <c r="A57" s="31" t="inlineStr">
        <is>
          <t>TC-PROD-09</t>
        </is>
      </c>
      <c r="B57" s="32" t="inlineStr">
        <is>
          <t>Saved product configuration persists after reopening</t>
        </is>
      </c>
      <c r="C57" s="32" t="inlineStr">
        <is>
          <t>Product &amp; Policy</t>
        </is>
      </c>
      <c r="D57" s="31" t="inlineStr">
        <is>
          <t>UI</t>
        </is>
      </c>
      <c r="E57" s="32" t="inlineStr">
        <is>
          <t>Guideline: persistence checks</t>
        </is>
      </c>
      <c r="F57" s="32" t="inlineStr">
        <is>
          <t>QR-10</t>
        </is>
      </c>
      <c r="G57" s="32" t="inlineStr">
        <is>
          <t>Configuration not persisted</t>
        </is>
      </c>
      <c r="H57" s="32" t="inlineStr">
        <is>
          <t>Application with product configured and saved.</t>
        </is>
      </c>
      <c r="I57" s="32" t="inlineStr">
        <is>
          <t>1. Save product configuration.
2. Go to dashboard and resume.
3. Open product step.</t>
        </is>
      </c>
      <c r="J57" s="32" t="inlineStr">
        <is>
          <t>Face value, frequency, payment term, policy term</t>
        </is>
      </c>
      <c r="K57" s="32" t="inlineStr">
        <is>
          <t>All configured values and premium are restored exactly.</t>
        </is>
      </c>
      <c r="L57" s="31" t="inlineStr">
        <is>
          <t>High</t>
        </is>
      </c>
      <c r="M57" s="31" t="inlineStr">
        <is>
          <t>P2</t>
        </is>
      </c>
      <c r="N57" s="31" t="n">
        <v>3</v>
      </c>
      <c r="O57" s="32" t="inlineStr">
        <is>
          <t>@regression product</t>
        </is>
      </c>
      <c r="P57" s="32" t="inlineStr">
        <is>
          <t>Screenshot of restored values</t>
        </is>
      </c>
      <c r="Q57" s="31" t="inlineStr">
        <is>
          <t>Automated</t>
        </is>
      </c>
      <c r="R57" s="32" t="inlineStr">
        <is>
          <t>tests/product-selection/persistence.spec.ts</t>
        </is>
      </c>
      <c r="S57" s="31" t="inlineStr">
        <is>
          <t>Not run</t>
        </is>
      </c>
      <c r="T57" s="32" t="n"/>
      <c r="U57" s="31" t="inlineStr">
        <is>
          <t>N</t>
        </is>
      </c>
      <c r="V57" s="31" t="inlineStr">
        <is>
          <t>Positive</t>
        </is>
      </c>
      <c r="W57" s="32" t="inlineStr">
        <is>
          <t>-</t>
        </is>
      </c>
      <c r="X57" s="32" t="inlineStr">
        <is>
          <t>Creates its own application via fixture (independent; unique generated data).</t>
        </is>
      </c>
    </row>
    <row r="58" ht="46.25" customHeight="1" s="23">
      <c r="A58" s="31" t="inlineStr">
        <is>
          <t>TC-PROD-10</t>
        </is>
      </c>
      <c r="B58" s="32" t="inlineStr">
        <is>
          <t>Product eligibility is validated against client age</t>
        </is>
      </c>
      <c r="C58" s="32" t="inlineStr">
        <is>
          <t>Product &amp; Policy</t>
        </is>
      </c>
      <c r="D58" s="31" t="inlineStr">
        <is>
          <t>UI</t>
        </is>
      </c>
      <c r="E58" s="32" t="inlineStr">
        <is>
          <t>Problem statement 2.2: product eligibility vs age</t>
        </is>
      </c>
      <c r="F58" s="32" t="inlineStr">
        <is>
          <t>QR-05</t>
        </is>
      </c>
      <c r="G58" s="32" t="inlineStr">
        <is>
          <t>Product eligibility not validated against client age</t>
        </is>
      </c>
      <c r="H58" s="32" t="inlineStr">
        <is>
          <t>Product with an age eligibility range visible on detail page (CONFIRM).</t>
        </is>
      </c>
      <c r="I58" s="32" t="inlineStr">
        <is>
          <t>1. Create application with client age outside the product's range.
2. Try to select that product.
3. Repeat with an in-range age.</t>
        </is>
      </c>
      <c r="J58" s="32" t="inlineStr">
        <is>
          <t>Out-of-range and in-range ages</t>
        </is>
      </c>
      <c r="K58" s="32" t="inlineStr">
        <is>
          <t>Out-of-range selection blocked or warned; in-range accepted.
Also verify: the rejected value is not saved (reload or GET shows the previous/empty value).</t>
        </is>
      </c>
      <c r="L58" s="31" t="inlineStr">
        <is>
          <t>High</t>
        </is>
      </c>
      <c r="M58" s="31" t="inlineStr">
        <is>
          <t>P1</t>
        </is>
      </c>
      <c r="N58" s="31" t="n">
        <v>2</v>
      </c>
      <c r="O58" s="32" t="inlineStr">
        <is>
          <t>@regression product</t>
        </is>
      </c>
      <c r="P58" s="32" t="inlineStr">
        <is>
          <t>Screenshots</t>
        </is>
      </c>
      <c r="Q58" s="31" t="inlineStr">
        <is>
          <t>Automated</t>
        </is>
      </c>
      <c r="R58" s="32" t="inlineStr">
        <is>
          <t>tests/product-selection/eligibility.spec.ts</t>
        </is>
      </c>
      <c r="S58" s="31" t="inlineStr">
        <is>
          <t>Not run</t>
        </is>
      </c>
      <c r="T58" s="32" t="inlineStr">
        <is>
          <t>Exact value/rule to be confirmed from app (see Open Items).</t>
        </is>
      </c>
      <c r="U58" s="31" t="inlineStr">
        <is>
          <t>N</t>
        </is>
      </c>
      <c r="V58" s="31" t="inlineStr">
        <is>
          <t>Negative</t>
        </is>
      </c>
      <c r="W58" s="32" t="inlineStr">
        <is>
          <t>-</t>
        </is>
      </c>
      <c r="X58" s="32" t="inlineStr">
        <is>
          <t>Creates its own application via fixture (independent; unique generated data).</t>
        </is>
      </c>
    </row>
    <row r="59" ht="46.25" customHeight="1" s="23">
      <c r="A59" s="31" t="inlineStr">
        <is>
          <t>TC-PROD-11</t>
        </is>
      </c>
      <c r="B59" s="32" t="inlineStr">
        <is>
          <t>Payment term and policy term options follow product rules</t>
        </is>
      </c>
      <c r="C59" s="32" t="inlineStr">
        <is>
          <t>Product &amp; Policy</t>
        </is>
      </c>
      <c r="D59" s="31" t="inlineStr">
        <is>
          <t>UI</t>
        </is>
      </c>
      <c r="E59" s="32" t="inlineStr">
        <is>
          <t>Spec: payment term / policy term</t>
        </is>
      </c>
      <c r="F59" s="32" t="inlineStr">
        <is>
          <t>QR-05</t>
        </is>
      </c>
      <c r="G59" s="32" t="inlineStr">
        <is>
          <t>Term rules not enforced</t>
        </is>
      </c>
      <c r="H59" s="32" t="inlineStr">
        <is>
          <t>Product selected.</t>
        </is>
      </c>
      <c r="I59" s="32" t="inlineStr">
        <is>
          <t>1. Open payment term dropdown; read options.
2. Select each option and check the dependent policy-term display (Whole Life / to Age 100).
3. Attempt an unsupported combination if the UI allows.</t>
        </is>
      </c>
      <c r="J59" s="32" t="inlineStr">
        <is>
          <t>All payment term options</t>
        </is>
      </c>
      <c r="K59" s="32" t="inlineStr">
        <is>
          <t>Dropdown values match product detail/API; policy term display follows the rule; unsupported combos blocked.</t>
        </is>
      </c>
      <c r="L59" s="31" t="inlineStr">
        <is>
          <t>Medium</t>
        </is>
      </c>
      <c r="M59" s="31" t="inlineStr">
        <is>
          <t>P2</t>
        </is>
      </c>
      <c r="N59" s="31" t="n">
        <v>3</v>
      </c>
      <c r="O59" s="32" t="inlineStr">
        <is>
          <t>@regression product</t>
        </is>
      </c>
      <c r="P59" s="32" t="inlineStr">
        <is>
          <t>Screenshot of options</t>
        </is>
      </c>
      <c r="Q59" s="31" t="inlineStr">
        <is>
          <t>Automated</t>
        </is>
      </c>
      <c r="R59" s="32" t="inlineStr">
        <is>
          <t>tests/product-selection/terms.spec.ts</t>
        </is>
      </c>
      <c r="S59" s="31" t="inlineStr">
        <is>
          <t>Not run</t>
        </is>
      </c>
      <c r="T59" s="32" t="n"/>
      <c r="U59" s="31" t="inlineStr">
        <is>
          <t>N</t>
        </is>
      </c>
      <c r="V59" s="31" t="inlineStr">
        <is>
          <t>Positive</t>
        </is>
      </c>
      <c r="W59" s="32" t="inlineStr">
        <is>
          <t>-</t>
        </is>
      </c>
      <c r="X59" s="32" t="inlineStr">
        <is>
          <t>Creates its own application via fixture (independent; unique generated data).</t>
        </is>
      </c>
    </row>
    <row r="60" ht="46.25" customHeight="1" s="23">
      <c r="A60" s="31" t="inlineStr">
        <is>
          <t>TC-PROD-12</t>
        </is>
      </c>
      <c r="B60" s="32" t="inlineStr">
        <is>
          <t>Invalid face value inputs (zero, negative, non-numeric, decimals) are rejected</t>
        </is>
      </c>
      <c r="C60" s="32" t="inlineStr">
        <is>
          <t>Product &amp; Policy</t>
        </is>
      </c>
      <c r="D60" s="31" t="inlineStr">
        <is>
          <t>UI</t>
        </is>
      </c>
      <c r="E60" s="32" t="inlineStr">
        <is>
          <t>Spec: face value boundary validation</t>
        </is>
      </c>
      <c r="F60" s="32" t="inlineStr">
        <is>
          <t>QR-05</t>
        </is>
      </c>
      <c r="G60" s="32" t="inlineStr">
        <is>
          <t>Face value validation gaps</t>
        </is>
      </c>
      <c r="H60" s="32" t="inlineStr">
        <is>
          <t>Product selected.</t>
        </is>
      </c>
      <c r="I60" s="32" t="inlineStr">
        <is>
          <t>1. Enter 0, -1000, 'abc', 100000.55 (if integers only), and blank.
2. Attempt to save.</t>
        </is>
      </c>
      <c r="J60" s="32" t="inlineStr">
        <is>
          <t>0; -1000; 'abc'; 100000.55; blank</t>
        </is>
      </c>
      <c r="K60" s="32" t="inlineStr">
        <is>
          <t>Each value rejected with a face-value error; premium not calculated from invalid input.
Also verify: the rejected value is not saved (reload or GET shows the previous/empty value).</t>
        </is>
      </c>
      <c r="L60" s="31" t="inlineStr">
        <is>
          <t>Medium</t>
        </is>
      </c>
      <c r="M60" s="31" t="inlineStr">
        <is>
          <t>P2</t>
        </is>
      </c>
      <c r="N60" s="31" t="n">
        <v>3</v>
      </c>
      <c r="O60" s="32" t="inlineStr">
        <is>
          <t>@regression product</t>
        </is>
      </c>
      <c r="P60" s="32" t="inlineStr">
        <is>
          <t>Screenshot per value</t>
        </is>
      </c>
      <c r="Q60" s="31" t="inlineStr">
        <is>
          <t>Automated</t>
        </is>
      </c>
      <c r="R60" s="32" t="inlineStr">
        <is>
          <t>tests/product-selection/face-value.spec.ts</t>
        </is>
      </c>
      <c r="S60" s="31" t="inlineStr">
        <is>
          <t>Not run</t>
        </is>
      </c>
      <c r="T60" s="32" t="n"/>
      <c r="U60" s="31" t="inlineStr">
        <is>
          <t>N</t>
        </is>
      </c>
      <c r="V60" s="31" t="inlineStr">
        <is>
          <t>Boundary</t>
        </is>
      </c>
      <c r="W60" s="32" t="inlineStr">
        <is>
          <t>-</t>
        </is>
      </c>
      <c r="X60" s="32" t="inlineStr">
        <is>
          <t>Creates its own application via fixture (independent; unique generated data).</t>
        </is>
      </c>
    </row>
    <row r="61" ht="35.05" customHeight="1" s="23">
      <c r="A61" s="31" t="inlineStr">
        <is>
          <t>TC-PROD-13</t>
        </is>
      </c>
      <c r="B61" s="32" t="inlineStr">
        <is>
          <t>Product search/filter in catalog returns correct products</t>
        </is>
      </c>
      <c r="C61" s="32" t="inlineStr">
        <is>
          <t>Product &amp; Policy</t>
        </is>
      </c>
      <c r="D61" s="31" t="inlineStr">
        <is>
          <t>UI</t>
        </is>
      </c>
      <c r="E61" s="32" t="inlineStr">
        <is>
          <t>ProductCatalogPage: product search</t>
        </is>
      </c>
      <c r="F61" s="32" t="inlineStr">
        <is>
          <t>QR-05</t>
        </is>
      </c>
      <c r="G61" s="32" t="inlineStr">
        <is>
          <t>Search returns wrong products</t>
        </is>
      </c>
      <c r="H61" s="32" t="inlineStr">
        <is>
          <t>On /products.</t>
        </is>
      </c>
      <c r="I61" s="32" t="inlineStr">
        <is>
          <t>1. Search for an existing product name.
2. Search for a non-existent term.
3. Clear the search.</t>
        </is>
      </c>
      <c r="J61" s="32" t="inlineStr">
        <is>
          <t>Existing / non-existent term</t>
        </is>
      </c>
      <c r="K61" s="32" t="inlineStr">
        <is>
          <t>Only matching products for 1; empty-result message for 2; full catalog after 3.</t>
        </is>
      </c>
      <c r="L61" s="31" t="inlineStr">
        <is>
          <t>Low</t>
        </is>
      </c>
      <c r="M61" s="31" t="inlineStr">
        <is>
          <t>P3</t>
        </is>
      </c>
      <c r="N61" s="31" t="n">
        <v>3</v>
      </c>
      <c r="O61" s="32" t="inlineStr">
        <is>
          <t>@regression product</t>
        </is>
      </c>
      <c r="P61" s="32" t="inlineStr">
        <is>
          <t>Screenshots</t>
        </is>
      </c>
      <c r="Q61" s="31" t="inlineStr">
        <is>
          <t>Automated</t>
        </is>
      </c>
      <c r="R61" s="32" t="inlineStr">
        <is>
          <t>tests/product-selection/catalog.spec.ts</t>
        </is>
      </c>
      <c r="S61" s="31" t="inlineStr">
        <is>
          <t>Not run</t>
        </is>
      </c>
      <c r="T61" s="32" t="n"/>
      <c r="U61" s="31" t="inlineStr">
        <is>
          <t>N</t>
        </is>
      </c>
      <c r="V61" s="31" t="inlineStr">
        <is>
          <t>Positive</t>
        </is>
      </c>
      <c r="W61" s="32" t="inlineStr">
        <is>
          <t>-</t>
        </is>
      </c>
      <c r="X61" s="32" t="inlineStr">
        <is>
          <t>Creates its own application via fixture (independent; unique generated data).</t>
        </is>
      </c>
    </row>
    <row r="62" ht="57.45" customHeight="1" s="23">
      <c r="A62" s="31" t="inlineStr">
        <is>
          <t>TC-PROD-14</t>
        </is>
      </c>
      <c r="B62" s="32" t="inlineStr">
        <is>
          <t>Premium shown in UI equals premium from API (reconciliation)</t>
        </is>
      </c>
      <c r="C62" s="32" t="inlineStr">
        <is>
          <t>Product &amp; Policy</t>
        </is>
      </c>
      <c r="D62" s="31" t="inlineStr">
        <is>
          <t>UI</t>
        </is>
      </c>
      <c r="E62" s="32" t="inlineStr">
        <is>
          <t>Spec: premium UI/API reconciliation</t>
        </is>
      </c>
      <c r="F62" s="32" t="inlineStr">
        <is>
          <t>QR-05, QR-09</t>
        </is>
      </c>
      <c r="G62" s="32" t="inlineStr">
        <is>
          <t>UI and API premium differ</t>
        </is>
      </c>
      <c r="H62" s="32" t="inlineStr">
        <is>
          <t>Configured application; premium exposed by API (CONFIRM field).</t>
        </is>
      </c>
      <c r="I62" s="32" t="inlineStr">
        <is>
          <t>1. Configure face value + frequency.
2. Read UI premium.
3. GET application/product data from API and read premium.
4. Compare for all four frequencies.</t>
        </is>
      </c>
      <c r="J62" s="32" t="inlineStr">
        <is>
          <t>Fixed configuration x 4 frequencies</t>
        </is>
      </c>
      <c r="K62" s="32" t="inlineStr">
        <is>
          <t>UI premium equals API premium for each frequency (same rounding).</t>
        </is>
      </c>
      <c r="L62" s="31" t="inlineStr">
        <is>
          <t>High</t>
        </is>
      </c>
      <c r="M62" s="31" t="inlineStr">
        <is>
          <t>P2</t>
        </is>
      </c>
      <c r="N62" s="31" t="n">
        <v>3</v>
      </c>
      <c r="O62" s="32" t="inlineStr">
        <is>
          <t>@regression product @api</t>
        </is>
      </c>
      <c r="P62" s="32" t="inlineStr">
        <is>
          <t>UI vs API comparison table</t>
        </is>
      </c>
      <c r="Q62" s="31" t="inlineStr">
        <is>
          <t>Automated</t>
        </is>
      </c>
      <c r="R62" s="32" t="inlineStr">
        <is>
          <t>tests/product-selection/premium.spec.ts</t>
        </is>
      </c>
      <c r="S62" s="31" t="inlineStr">
        <is>
          <t>Not run</t>
        </is>
      </c>
      <c r="T62" s="32" t="inlineStr">
        <is>
          <t>Exact value/rule to be confirmed from app (see Open Items).</t>
        </is>
      </c>
      <c r="U62" s="31" t="inlineStr">
        <is>
          <t>N</t>
        </is>
      </c>
      <c r="V62" s="31" t="inlineStr">
        <is>
          <t>Positive</t>
        </is>
      </c>
      <c r="W62" s="32" t="inlineStr">
        <is>
          <t>-</t>
        </is>
      </c>
      <c r="X62" s="32" t="inlineStr">
        <is>
          <t>Creates its own application via fixture (independent; unique generated data).</t>
        </is>
      </c>
    </row>
    <row r="63" ht="23.85" customHeight="1" s="23">
      <c r="A63" s="31" t="inlineStr">
        <is>
          <t>TC-RID-01</t>
        </is>
      </c>
      <c r="B63" s="32" t="inlineStr">
        <is>
          <t>Eligible protection rider (ADB) can be added</t>
        </is>
      </c>
      <c r="C63" s="32" t="inlineStr">
        <is>
          <t>Riders</t>
        </is>
      </c>
      <c r="D63" s="31" t="inlineStr">
        <is>
          <t>UI</t>
        </is>
      </c>
      <c r="E63" s="32" t="inlineStr">
        <is>
          <t>RIDER-V01</t>
        </is>
      </c>
      <c r="F63" s="32" t="inlineStr">
        <is>
          <t>QR-06</t>
        </is>
      </c>
      <c r="G63" s="32" t="inlineStr">
        <is>
          <t>Rider add fails</t>
        </is>
      </c>
      <c r="H63" s="32" t="inlineStr">
        <is>
          <t>Application at Riders step; client age eligible.</t>
        </is>
      </c>
      <c r="I63" s="32" t="inlineStr">
        <is>
          <t>1. Select the ADB rider.
2. Check premium summary.</t>
        </is>
      </c>
      <c r="J63" s="32" t="inlineStr">
        <is>
          <t>Eligible client age 40</t>
        </is>
      </c>
      <c r="K63" s="32" t="inlineStr">
        <is>
          <t>Rider appears in premium summary.</t>
        </is>
      </c>
      <c r="L63" s="31" t="inlineStr">
        <is>
          <t>High</t>
        </is>
      </c>
      <c r="M63" s="31" t="inlineStr">
        <is>
          <t>P1</t>
        </is>
      </c>
      <c r="N63" s="31" t="n">
        <v>1</v>
      </c>
      <c r="O63" s="32" t="inlineStr">
        <is>
          <t>@smoke @regression rider</t>
        </is>
      </c>
      <c r="P63" s="32" t="inlineStr">
        <is>
          <t>Screenshot of premium summary</t>
        </is>
      </c>
      <c r="Q63" s="31" t="inlineStr">
        <is>
          <t>Automated</t>
        </is>
      </c>
      <c r="R63" s="32" t="inlineStr">
        <is>
          <t>tests/riders/riders.spec.ts</t>
        </is>
      </c>
      <c r="S63" s="31" t="inlineStr">
        <is>
          <t>Not run</t>
        </is>
      </c>
      <c r="T63" s="32" t="n"/>
      <c r="U63" s="31" t="inlineStr">
        <is>
          <t>Y</t>
        </is>
      </c>
      <c r="V63" s="31" t="inlineStr">
        <is>
          <t>Positive</t>
        </is>
      </c>
      <c r="W63" s="32" t="inlineStr">
        <is>
          <t>-</t>
        </is>
      </c>
      <c r="X63" s="32" t="inlineStr">
        <is>
          <t>Creates its own application via fixture (independent; unique generated data).</t>
        </is>
      </c>
    </row>
    <row r="64" ht="35.05" customHeight="1" s="23">
      <c r="A64" s="31" t="inlineStr">
        <is>
          <t>TC-RID-02</t>
        </is>
      </c>
      <c r="B64" s="32" t="inlineStr">
        <is>
          <t>Rider coverage cannot exceed base face value</t>
        </is>
      </c>
      <c r="C64" s="32" t="inlineStr">
        <is>
          <t>Riders</t>
        </is>
      </c>
      <c r="D64" s="31" t="inlineStr">
        <is>
          <t>UI</t>
        </is>
      </c>
      <c r="E64" s="32" t="inlineStr">
        <is>
          <t>RIDER-V02</t>
        </is>
      </c>
      <c r="F64" s="32" t="inlineStr">
        <is>
          <t>QR-06</t>
        </is>
      </c>
      <c r="G64" s="32" t="inlineStr">
        <is>
          <t>Rider coverage above face value</t>
        </is>
      </c>
      <c r="H64" s="32" t="inlineStr">
        <is>
          <t>Face value set (e.g. 100000).</t>
        </is>
      </c>
      <c r="I64" s="32" t="inlineStr">
        <is>
          <t>1. Select rider with editable coverage.
2. Enter coverage = face value + 1.
3. Enter coverage = face value.</t>
        </is>
      </c>
      <c r="J64" s="32" t="inlineStr">
        <is>
          <t>Coverage FV+1 and FV</t>
        </is>
      </c>
      <c r="K64" s="32" t="inlineStr">
        <is>
          <t>FV+1 rejected with validation; FV accepted.
Also verify: the rejected value is not saved (reload or GET shows the previous/empty value).</t>
        </is>
      </c>
      <c r="L64" s="31" t="inlineStr">
        <is>
          <t>High</t>
        </is>
      </c>
      <c r="M64" s="31" t="inlineStr">
        <is>
          <t>P1</t>
        </is>
      </c>
      <c r="N64" s="31" t="n">
        <v>2</v>
      </c>
      <c r="O64" s="32" t="inlineStr">
        <is>
          <t>@regression rider</t>
        </is>
      </c>
      <c r="P64" s="32" t="inlineStr">
        <is>
          <t>Screenshots</t>
        </is>
      </c>
      <c r="Q64" s="31" t="inlineStr">
        <is>
          <t>Automated</t>
        </is>
      </c>
      <c r="R64" s="32" t="inlineStr">
        <is>
          <t>tests/riders/riders.spec.ts</t>
        </is>
      </c>
      <c r="S64" s="31" t="inlineStr">
        <is>
          <t>Not run</t>
        </is>
      </c>
      <c r="T64" s="32" t="n"/>
      <c r="U64" s="31" t="inlineStr">
        <is>
          <t>Y</t>
        </is>
      </c>
      <c r="V64" s="31" t="inlineStr">
        <is>
          <t>Boundary</t>
        </is>
      </c>
      <c r="W64" s="32" t="inlineStr">
        <is>
          <t>-</t>
        </is>
      </c>
      <c r="X64" s="32" t="inlineStr">
        <is>
          <t>Creates its own application via fixture (independent; unique generated data).</t>
        </is>
      </c>
    </row>
    <row r="65" ht="46.25" customHeight="1" s="23">
      <c r="A65" s="31" t="inlineStr">
        <is>
          <t>TC-RID-03</t>
        </is>
      </c>
      <c r="B65" s="32" t="inlineStr">
        <is>
          <t>Age-ineligible rider cannot be added</t>
        </is>
      </c>
      <c r="C65" s="32" t="inlineStr">
        <is>
          <t>Riders</t>
        </is>
      </c>
      <c r="D65" s="31" t="inlineStr">
        <is>
          <t>UI</t>
        </is>
      </c>
      <c r="E65" s="32" t="inlineStr">
        <is>
          <t>RIDER-V03</t>
        </is>
      </c>
      <c r="F65" s="32" t="inlineStr">
        <is>
          <t>QR-06</t>
        </is>
      </c>
      <c r="G65" s="32" t="inlineStr">
        <is>
          <t>Age-ineligible rider added</t>
        </is>
      </c>
      <c r="H65" s="32" t="inlineStr">
        <is>
          <t>Client age outside rider's allowed range (CONFIRM limits).</t>
        </is>
      </c>
      <c r="I65" s="32" t="inlineStr">
        <is>
          <t>1. Reach Riders step with out-of-range age client.
2. Try to select rider.</t>
        </is>
      </c>
      <c r="J65" s="32" t="inlineStr">
        <is>
          <t>Client near upper age limit</t>
        </is>
      </c>
      <c r="K65" s="32" t="inlineStr">
        <is>
          <t>Rider disabled or error shown; not added to summary.
Also verify: the rejected value is not saved (reload or GET shows the previous/empty value).</t>
        </is>
      </c>
      <c r="L65" s="31" t="inlineStr">
        <is>
          <t>High</t>
        </is>
      </c>
      <c r="M65" s="31" t="inlineStr">
        <is>
          <t>P2</t>
        </is>
      </c>
      <c r="N65" s="31" t="n">
        <v>3</v>
      </c>
      <c r="O65" s="32" t="inlineStr">
        <is>
          <t>@regression rider</t>
        </is>
      </c>
      <c r="P65" s="32" t="inlineStr">
        <is>
          <t>Screenshot</t>
        </is>
      </c>
      <c r="Q65" s="31" t="inlineStr">
        <is>
          <t>Automated</t>
        </is>
      </c>
      <c r="R65" s="32" t="inlineStr">
        <is>
          <t>tests/riders/riders.spec.ts</t>
        </is>
      </c>
      <c r="S65" s="31" t="inlineStr">
        <is>
          <t>Not run</t>
        </is>
      </c>
      <c r="T65" s="32" t="inlineStr">
        <is>
          <t>Exact value/rule to be confirmed from app (see Open Items).</t>
        </is>
      </c>
      <c r="U65" s="31" t="inlineStr">
        <is>
          <t>N</t>
        </is>
      </c>
      <c r="V65" s="31" t="inlineStr">
        <is>
          <t>Negative</t>
        </is>
      </c>
      <c r="W65" s="32" t="inlineStr">
        <is>
          <t>-</t>
        </is>
      </c>
      <c r="X65" s="32" t="inlineStr">
        <is>
          <t>Creates its own application via fixture (independent; unique generated data).</t>
        </is>
      </c>
    </row>
    <row r="66" ht="35.05" customHeight="1" s="23">
      <c r="A66" s="31" t="inlineStr">
        <is>
          <t>TC-RID-04</t>
        </is>
      </c>
      <c r="B66" s="32" t="inlineStr">
        <is>
          <t>Maximum rider count is enforced</t>
        </is>
      </c>
      <c r="C66" s="32" t="inlineStr">
        <is>
          <t>Riders</t>
        </is>
      </c>
      <c r="D66" s="31" t="inlineStr">
        <is>
          <t>UI</t>
        </is>
      </c>
      <c r="E66" s="32" t="inlineStr">
        <is>
          <t>RIDER-V04</t>
        </is>
      </c>
      <c r="F66" s="32" t="inlineStr">
        <is>
          <t>QR-06</t>
        </is>
      </c>
      <c r="G66" s="32" t="inlineStr">
        <is>
          <t>Max rider count ignored</t>
        </is>
      </c>
      <c r="H66" s="32" t="inlineStr">
        <is>
          <t>Max count known (CONFIRM).</t>
        </is>
      </c>
      <c r="I66" s="32" t="inlineStr">
        <is>
          <t>1. Add riders until max.
2. Try to add one more.</t>
        </is>
      </c>
      <c r="J66" s="32" t="inlineStr">
        <is>
          <t>Riders list</t>
        </is>
      </c>
      <c r="K66" s="32" t="inlineStr">
        <is>
          <t>Blocking message shown; extra rider not added.
Also verify: the rejected value is not saved (reload or GET shows the previous/empty value).</t>
        </is>
      </c>
      <c r="L66" s="31" t="inlineStr">
        <is>
          <t>High</t>
        </is>
      </c>
      <c r="M66" s="31" t="inlineStr">
        <is>
          <t>P2</t>
        </is>
      </c>
      <c r="N66" s="31" t="n">
        <v>3</v>
      </c>
      <c r="O66" s="32" t="inlineStr">
        <is>
          <t>@regression rider</t>
        </is>
      </c>
      <c r="P66" s="32" t="inlineStr">
        <is>
          <t>Screenshot of block message</t>
        </is>
      </c>
      <c r="Q66" s="31" t="inlineStr">
        <is>
          <t>Automated</t>
        </is>
      </c>
      <c r="R66" s="32" t="inlineStr">
        <is>
          <t>tests/riders/riders.spec.ts</t>
        </is>
      </c>
      <c r="S66" s="31" t="inlineStr">
        <is>
          <t>Not run</t>
        </is>
      </c>
      <c r="T66" s="32" t="inlineStr">
        <is>
          <t>Exact value/rule to be confirmed from app (see Open Items).</t>
        </is>
      </c>
      <c r="U66" s="31" t="inlineStr">
        <is>
          <t>N</t>
        </is>
      </c>
      <c r="V66" s="31" t="inlineStr">
        <is>
          <t>Negative</t>
        </is>
      </c>
      <c r="W66" s="32" t="inlineStr">
        <is>
          <t>-</t>
        </is>
      </c>
      <c r="X66" s="32" t="inlineStr">
        <is>
          <t>Creates its own application via fixture (independent; unique generated data).</t>
        </is>
      </c>
    </row>
    <row r="67" ht="35.05" customHeight="1" s="23">
      <c r="A67" s="31" t="inlineStr">
        <is>
          <t>TC-RID-05</t>
        </is>
      </c>
      <c r="B67" s="32" t="inlineStr">
        <is>
          <t>Mutually exclusive waiver riders cannot both be selected</t>
        </is>
      </c>
      <c r="C67" s="32" t="inlineStr">
        <is>
          <t>Riders</t>
        </is>
      </c>
      <c r="D67" s="31" t="inlineStr">
        <is>
          <t>UI</t>
        </is>
      </c>
      <c r="E67" s="32" t="inlineStr">
        <is>
          <t>RIDER-V05</t>
        </is>
      </c>
      <c r="F67" s="32" t="inlineStr">
        <is>
          <t>QR-06</t>
        </is>
      </c>
      <c r="G67" s="32" t="inlineStr">
        <is>
          <t>Exclusive waivers both allowed</t>
        </is>
      </c>
      <c r="H67" s="32" t="inlineStr">
        <is>
          <t>Two waiver riders exist.</t>
        </is>
      </c>
      <c r="I67" s="32" t="inlineStr">
        <is>
          <t>1. Select waiver rider A.
2. Try to select waiver rider B.</t>
        </is>
      </c>
      <c r="J67" s="32" t="inlineStr">
        <is>
          <t>Waiver riders</t>
        </is>
      </c>
      <c r="K67" s="32" t="inlineStr">
        <is>
          <t>Waiver B disabled or blocked while A selected.
Also verify: the rejected value is not saved (reload or GET shows the previous/empty value).</t>
        </is>
      </c>
      <c r="L67" s="31" t="inlineStr">
        <is>
          <t>High</t>
        </is>
      </c>
      <c r="M67" s="31" t="inlineStr">
        <is>
          <t>P1</t>
        </is>
      </c>
      <c r="N67" s="31" t="n">
        <v>2</v>
      </c>
      <c r="O67" s="32" t="inlineStr">
        <is>
          <t>@regression rider</t>
        </is>
      </c>
      <c r="P67" s="32" t="inlineStr">
        <is>
          <t>Screenshot</t>
        </is>
      </c>
      <c r="Q67" s="31" t="inlineStr">
        <is>
          <t>Automated</t>
        </is>
      </c>
      <c r="R67" s="32" t="inlineStr">
        <is>
          <t>tests/riders/riders.spec.ts</t>
        </is>
      </c>
      <c r="S67" s="31" t="inlineStr">
        <is>
          <t>Not run</t>
        </is>
      </c>
      <c r="T67" s="32" t="n"/>
      <c r="U67" s="31" t="inlineStr">
        <is>
          <t>Y</t>
        </is>
      </c>
      <c r="V67" s="31" t="inlineStr">
        <is>
          <t>Negative</t>
        </is>
      </c>
      <c r="W67" s="32" t="inlineStr">
        <is>
          <t>-</t>
        </is>
      </c>
      <c r="X67" s="32" t="inlineStr">
        <is>
          <t>Creates its own application via fixture (independent; unique generated data).</t>
        </is>
      </c>
    </row>
    <row r="68" ht="23.85" customHeight="1" s="23">
      <c r="A68" s="31" t="inlineStr">
        <is>
          <t>TC-RID-06</t>
        </is>
      </c>
      <c r="B68" s="32" t="inlineStr">
        <is>
          <t>Critical illness rider triggers health questionnaire</t>
        </is>
      </c>
      <c r="C68" s="32" t="inlineStr">
        <is>
          <t>Riders</t>
        </is>
      </c>
      <c r="D68" s="31" t="inlineStr">
        <is>
          <t>UI</t>
        </is>
      </c>
      <c r="E68" s="32" t="inlineStr">
        <is>
          <t>RIDER-V06</t>
        </is>
      </c>
      <c r="F68" s="32" t="inlineStr">
        <is>
          <t>QR-06</t>
        </is>
      </c>
      <c r="G68" s="32" t="inlineStr">
        <is>
          <t>CI questionnaire missing</t>
        </is>
      </c>
      <c r="H68" s="32" t="inlineStr">
        <is>
          <t>CI rider available to client.</t>
        </is>
      </c>
      <c r="I68" s="32" t="inlineStr">
        <is>
          <t>1. Select Critical Illness rider.</t>
        </is>
      </c>
      <c r="J68" s="32" t="inlineStr">
        <is>
          <t>CI rider</t>
        </is>
      </c>
      <c r="K68" s="32" t="inlineStr">
        <is>
          <t>Health questionnaire section appears and is required.</t>
        </is>
      </c>
      <c r="L68" s="31" t="inlineStr">
        <is>
          <t>Medium</t>
        </is>
      </c>
      <c r="M68" s="31" t="inlineStr">
        <is>
          <t>P2</t>
        </is>
      </c>
      <c r="N68" s="31" t="n">
        <v>2</v>
      </c>
      <c r="O68" s="32" t="inlineStr">
        <is>
          <t>@regression rider</t>
        </is>
      </c>
      <c r="P68" s="32" t="inlineStr">
        <is>
          <t>Screenshot of questionnaire</t>
        </is>
      </c>
      <c r="Q68" s="31" t="inlineStr">
        <is>
          <t>Automated</t>
        </is>
      </c>
      <c r="R68" s="32" t="inlineStr">
        <is>
          <t>tests/riders/riders.spec.ts</t>
        </is>
      </c>
      <c r="S68" s="31" t="inlineStr">
        <is>
          <t>Not run</t>
        </is>
      </c>
      <c r="T68" s="32" t="n"/>
      <c r="U68" s="31" t="inlineStr">
        <is>
          <t>N</t>
        </is>
      </c>
      <c r="V68" s="31" t="inlineStr">
        <is>
          <t>Positive</t>
        </is>
      </c>
      <c r="W68" s="32" t="inlineStr">
        <is>
          <t>-</t>
        </is>
      </c>
      <c r="X68" s="32" t="inlineStr">
        <is>
          <t>Creates its own application via fixture (independent; unique generated data).</t>
        </is>
      </c>
    </row>
    <row r="69" ht="35.05" customHeight="1" s="23">
      <c r="A69" s="31" t="inlineStr">
        <is>
          <t>TC-RID-07</t>
        </is>
      </c>
      <c r="B69" s="32" t="inlineStr">
        <is>
          <t>Rider premium is itemized and total updates</t>
        </is>
      </c>
      <c r="C69" s="32" t="inlineStr">
        <is>
          <t>Riders</t>
        </is>
      </c>
      <c r="D69" s="31" t="inlineStr">
        <is>
          <t>UI</t>
        </is>
      </c>
      <c r="E69" s="32" t="inlineStr">
        <is>
          <t>RIDER-V07</t>
        </is>
      </c>
      <c r="F69" s="32" t="inlineStr">
        <is>
          <t>QR-06, QR-05</t>
        </is>
      </c>
      <c r="G69" s="32" t="inlineStr">
        <is>
          <t>Premium not itemized</t>
        </is>
      </c>
      <c r="H69" s="32" t="inlineStr">
        <is>
          <t>Base premium known.</t>
        </is>
      </c>
      <c r="I69" s="32" t="inlineStr">
        <is>
          <t>1. Note base premium.
2. Add a rider.
3. Read itemized lines and total.</t>
        </is>
      </c>
      <c r="J69" s="32" t="inlineStr">
        <is>
          <t>ADB rider</t>
        </is>
      </c>
      <c r="K69" s="32" t="inlineStr">
        <is>
          <t>Rider line item displayed; total = base + rider premium.</t>
        </is>
      </c>
      <c r="L69" s="31" t="inlineStr">
        <is>
          <t>High</t>
        </is>
      </c>
      <c r="M69" s="31" t="inlineStr">
        <is>
          <t>P1</t>
        </is>
      </c>
      <c r="N69" s="31" t="n">
        <v>2</v>
      </c>
      <c r="O69" s="32" t="inlineStr">
        <is>
          <t>@regression rider</t>
        </is>
      </c>
      <c r="P69" s="32" t="inlineStr">
        <is>
          <t>Screenshot of itemization</t>
        </is>
      </c>
      <c r="Q69" s="31" t="inlineStr">
        <is>
          <t>Automated</t>
        </is>
      </c>
      <c r="R69" s="32" t="inlineStr">
        <is>
          <t>tests/riders/riders.spec.ts</t>
        </is>
      </c>
      <c r="S69" s="31" t="inlineStr">
        <is>
          <t>Not run</t>
        </is>
      </c>
      <c r="T69" s="32" t="n"/>
      <c r="U69" s="31" t="inlineStr">
        <is>
          <t>N</t>
        </is>
      </c>
      <c r="V69" s="31" t="inlineStr">
        <is>
          <t>Positive</t>
        </is>
      </c>
      <c r="W69" s="32" t="inlineStr">
        <is>
          <t>-</t>
        </is>
      </c>
      <c r="X69" s="32" t="inlineStr">
        <is>
          <t>Creates its own application via fixture (independent; unique generated data).</t>
        </is>
      </c>
    </row>
    <row r="70" ht="46.25" customHeight="1" s="23">
      <c r="A70" s="31" t="inlineStr">
        <is>
          <t>TC-RID-08</t>
        </is>
      </c>
      <c r="B70" s="32" t="inlineStr">
        <is>
          <t>Rider dependency rules are enforced</t>
        </is>
      </c>
      <c r="C70" s="32" t="inlineStr">
        <is>
          <t>Riders</t>
        </is>
      </c>
      <c r="D70" s="31" t="inlineStr">
        <is>
          <t>UI</t>
        </is>
      </c>
      <c r="E70" s="32" t="inlineStr">
        <is>
          <t>Spec: rider dependency rules</t>
        </is>
      </c>
      <c r="F70" s="32" t="inlineStr">
        <is>
          <t>QR-06</t>
        </is>
      </c>
      <c r="G70" s="32" t="inlineStr">
        <is>
          <t>Dependency rule bypass</t>
        </is>
      </c>
      <c r="H70" s="32" t="inlineStr">
        <is>
          <t>Rider with a dependency (e.g. requires another rider or minimum face value) exists (CONFIRM).</t>
        </is>
      </c>
      <c r="I70" s="32" t="inlineStr">
        <is>
          <t>1. Select the dependent rider without its prerequisite.
2. Add the prerequisite and select again.</t>
        </is>
      </c>
      <c r="J70" s="32" t="inlineStr">
        <is>
          <t>Dependent rider pair</t>
        </is>
      </c>
      <c r="K70" s="32" t="inlineStr">
        <is>
          <t>Blocked or flagged without prerequisite; allowed with it.
Also verify: the rejected value is not saved (reload or GET shows the previous/empty value).</t>
        </is>
      </c>
      <c r="L70" s="31" t="inlineStr">
        <is>
          <t>High</t>
        </is>
      </c>
      <c r="M70" s="31" t="inlineStr">
        <is>
          <t>P2</t>
        </is>
      </c>
      <c r="N70" s="31" t="n">
        <v>3</v>
      </c>
      <c r="O70" s="32" t="inlineStr">
        <is>
          <t>@regression rider</t>
        </is>
      </c>
      <c r="P70" s="32" t="inlineStr">
        <is>
          <t>Screenshots</t>
        </is>
      </c>
      <c r="Q70" s="31" t="inlineStr">
        <is>
          <t>Automated</t>
        </is>
      </c>
      <c r="R70" s="32" t="inlineStr">
        <is>
          <t>tests/riders/riders.spec.ts</t>
        </is>
      </c>
      <c r="S70" s="31" t="inlineStr">
        <is>
          <t>Not run</t>
        </is>
      </c>
      <c r="T70" s="32" t="inlineStr">
        <is>
          <t>Exact value/rule to be confirmed from app (see Open Items).</t>
        </is>
      </c>
      <c r="U70" s="31" t="inlineStr">
        <is>
          <t>N</t>
        </is>
      </c>
      <c r="V70" s="31" t="inlineStr">
        <is>
          <t>Negative</t>
        </is>
      </c>
      <c r="W70" s="32" t="inlineStr">
        <is>
          <t>-</t>
        </is>
      </c>
      <c r="X70" s="32" t="inlineStr">
        <is>
          <t>Creates its own application via fixture (independent; unique generated data).</t>
        </is>
      </c>
    </row>
    <row r="71" ht="46.25" customHeight="1" s="23">
      <c r="A71" s="31" t="inlineStr">
        <is>
          <t>TC-RID-09</t>
        </is>
      </c>
      <c r="B71" s="32" t="inlineStr">
        <is>
          <t>Removing a rider updates premium itemization and total</t>
        </is>
      </c>
      <c r="C71" s="32" t="inlineStr">
        <is>
          <t>Riders</t>
        </is>
      </c>
      <c r="D71" s="31" t="inlineStr">
        <is>
          <t>UI</t>
        </is>
      </c>
      <c r="E71" s="32" t="inlineStr">
        <is>
          <t>Spec: premium itemization</t>
        </is>
      </c>
      <c r="F71" s="32" t="inlineStr">
        <is>
          <t>QR-06, QR-05</t>
        </is>
      </c>
      <c r="G71" s="32" t="inlineStr">
        <is>
          <t>Premium not updated after rider removal</t>
        </is>
      </c>
      <c r="H71" s="32" t="inlineStr">
        <is>
          <t>Application with one rider added.</t>
        </is>
      </c>
      <c r="I71" s="32" t="inlineStr">
        <is>
          <t>1. Note total premium with rider.
2. Remove the rider.
3. Read itemization and total.
4. Open review page.</t>
        </is>
      </c>
      <c r="J71" s="32" t="inlineStr">
        <is>
          <t>ADB rider</t>
        </is>
      </c>
      <c r="K71" s="32" t="inlineStr">
        <is>
          <t>Rider line removed; total returns to base premium; review page matches.</t>
        </is>
      </c>
      <c r="L71" s="31" t="inlineStr">
        <is>
          <t>High</t>
        </is>
      </c>
      <c r="M71" s="31" t="inlineStr">
        <is>
          <t>P2</t>
        </is>
      </c>
      <c r="N71" s="31" t="n">
        <v>3</v>
      </c>
      <c r="O71" s="32" t="inlineStr">
        <is>
          <t>@regression rider</t>
        </is>
      </c>
      <c r="P71" s="32" t="inlineStr">
        <is>
          <t>Screenshots</t>
        </is>
      </c>
      <c r="Q71" s="31" t="inlineStr">
        <is>
          <t>Automated</t>
        </is>
      </c>
      <c r="R71" s="32" t="inlineStr">
        <is>
          <t>tests/riders/riders.spec.ts</t>
        </is>
      </c>
      <c r="S71" s="31" t="inlineStr">
        <is>
          <t>Not run</t>
        </is>
      </c>
      <c r="T71" s="32" t="n"/>
      <c r="U71" s="31" t="inlineStr">
        <is>
          <t>N</t>
        </is>
      </c>
      <c r="V71" s="31" t="inlineStr">
        <is>
          <t>Positive</t>
        </is>
      </c>
      <c r="W71" s="32" t="inlineStr">
        <is>
          <t>-</t>
        </is>
      </c>
      <c r="X71" s="32" t="inlineStr">
        <is>
          <t>Creates its own application via fixture (independent; unique generated data).</t>
        </is>
      </c>
    </row>
    <row r="72" ht="23.85" customHeight="1" s="23">
      <c r="A72" s="31" t="inlineStr">
        <is>
          <t>TC-BEN-01</t>
        </is>
      </c>
      <c r="B72" s="32" t="inlineStr">
        <is>
          <t>Add a valid primary beneficiary</t>
        </is>
      </c>
      <c r="C72" s="32" t="inlineStr">
        <is>
          <t>Beneficiaries</t>
        </is>
      </c>
      <c r="D72" s="31" t="inlineStr">
        <is>
          <t>UI</t>
        </is>
      </c>
      <c r="E72" s="32" t="inlineStr">
        <is>
          <t>BEN-V01</t>
        </is>
      </c>
      <c r="F72" s="32" t="inlineStr">
        <is>
          <t>QR-07</t>
        </is>
      </c>
      <c r="G72" s="32" t="inlineStr">
        <is>
          <t>Beneficiary cannot be added</t>
        </is>
      </c>
      <c r="H72" s="32" t="inlineStr">
        <is>
          <t>Application at Beneficiaries step.</t>
        </is>
      </c>
      <c r="I72" s="32" t="inlineStr">
        <is>
          <t>1. Fill valid individual beneficiary details with 100%.
2. Save.</t>
        </is>
      </c>
      <c r="J72" s="32" t="inlineStr">
        <is>
          <t>Generated adult beneficiary</t>
        </is>
      </c>
      <c r="K72" s="32" t="inlineStr">
        <is>
          <t>Beneficiary card/row appears; running total 100%.</t>
        </is>
      </c>
      <c r="L72" s="31" t="inlineStr">
        <is>
          <t>High</t>
        </is>
      </c>
      <c r="M72" s="31" t="inlineStr">
        <is>
          <t>P1</t>
        </is>
      </c>
      <c r="N72" s="31" t="n">
        <v>1</v>
      </c>
      <c r="O72" s="32" t="inlineStr">
        <is>
          <t>@smoke @regression beneficiary</t>
        </is>
      </c>
      <c r="P72" s="32" t="inlineStr">
        <is>
          <t>Screenshot</t>
        </is>
      </c>
      <c r="Q72" s="31" t="inlineStr">
        <is>
          <t>Automated</t>
        </is>
      </c>
      <c r="R72" s="32" t="inlineStr">
        <is>
          <t>tests/beneficiaries/beneficiaries.spec.ts</t>
        </is>
      </c>
      <c r="S72" s="31" t="inlineStr">
        <is>
          <t>Not run</t>
        </is>
      </c>
      <c r="T72" s="32" t="n"/>
      <c r="U72" s="31" t="inlineStr">
        <is>
          <t>Y</t>
        </is>
      </c>
      <c r="V72" s="31" t="inlineStr">
        <is>
          <t>Positive</t>
        </is>
      </c>
      <c r="W72" s="32" t="inlineStr">
        <is>
          <t>-</t>
        </is>
      </c>
      <c r="X72" s="32" t="inlineStr">
        <is>
          <t>Creates its own application via fixture (independent; unique generated data).</t>
        </is>
      </c>
    </row>
    <row r="73" ht="35.05" customHeight="1" s="23">
      <c r="A73" s="31" t="inlineStr">
        <is>
          <t>TC-BEN-02</t>
        </is>
      </c>
      <c r="B73" s="32" t="inlineStr">
        <is>
          <t>Primary allocation below 100% blocks progression</t>
        </is>
      </c>
      <c r="C73" s="32" t="inlineStr">
        <is>
          <t>Beneficiaries</t>
        </is>
      </c>
      <c r="D73" s="31" t="inlineStr">
        <is>
          <t>UI</t>
        </is>
      </c>
      <c r="E73" s="32" t="inlineStr">
        <is>
          <t>BEN-V02</t>
        </is>
      </c>
      <c r="F73" s="32" t="inlineStr">
        <is>
          <t>QR-07</t>
        </is>
      </c>
      <c r="G73" s="32" t="inlineStr">
        <is>
          <t>Allocation not 100% accepted</t>
        </is>
      </c>
      <c r="H73" s="32" t="inlineStr">
        <is>
          <t>One primary beneficiary.</t>
        </is>
      </c>
      <c r="I73" s="32" t="inlineStr">
        <is>
          <t>1. Set primary total to 99%.
2. Proceed.</t>
        </is>
      </c>
      <c r="J73" s="32" t="inlineStr">
        <is>
          <t>99%</t>
        </is>
      </c>
      <c r="K73" s="32" t="inlineStr">
        <is>
          <t>Error shown; progression blocked.
Also verify: the rejected value is not saved (reload or GET shows the previous/empty value).</t>
        </is>
      </c>
      <c r="L73" s="31" t="inlineStr">
        <is>
          <t>Critical</t>
        </is>
      </c>
      <c r="M73" s="31" t="inlineStr">
        <is>
          <t>P1</t>
        </is>
      </c>
      <c r="N73" s="31" t="n">
        <v>2</v>
      </c>
      <c r="O73" s="32" t="inlineStr">
        <is>
          <t>@regression beneficiary</t>
        </is>
      </c>
      <c r="P73" s="32" t="inlineStr">
        <is>
          <t>Screenshot</t>
        </is>
      </c>
      <c r="Q73" s="31" t="inlineStr">
        <is>
          <t>Automated</t>
        </is>
      </c>
      <c r="R73" s="32" t="inlineStr">
        <is>
          <t>tests/beneficiaries/allocation.spec.ts</t>
        </is>
      </c>
      <c r="S73" s="31" t="inlineStr">
        <is>
          <t>Not run</t>
        </is>
      </c>
      <c r="T73" s="32" t="n"/>
      <c r="U73" s="31" t="inlineStr">
        <is>
          <t>Y</t>
        </is>
      </c>
      <c r="V73" s="31" t="inlineStr">
        <is>
          <t>Boundary</t>
        </is>
      </c>
      <c r="W73" s="32" t="inlineStr">
        <is>
          <t>API: POST /validate returns allocation error</t>
        </is>
      </c>
      <c r="X73" s="32" t="inlineStr">
        <is>
          <t>Creates its own application via fixture (independent; unique generated data).</t>
        </is>
      </c>
    </row>
    <row r="74" ht="35.05" customHeight="1" s="23">
      <c r="A74" s="31" t="inlineStr">
        <is>
          <t>TC-BEN-03</t>
        </is>
      </c>
      <c r="B74" s="32" t="inlineStr">
        <is>
          <t>Primary allocation above 100% blocks progression</t>
        </is>
      </c>
      <c r="C74" s="32" t="inlineStr">
        <is>
          <t>Beneficiaries</t>
        </is>
      </c>
      <c r="D74" s="31" t="inlineStr">
        <is>
          <t>UI</t>
        </is>
      </c>
      <c r="E74" s="32" t="inlineStr">
        <is>
          <t>BEN-V03</t>
        </is>
      </c>
      <c r="F74" s="32" t="inlineStr">
        <is>
          <t>QR-07</t>
        </is>
      </c>
      <c r="G74" s="32" t="inlineStr">
        <is>
          <t>Allocation not 100% accepted</t>
        </is>
      </c>
      <c r="H74" s="32" t="inlineStr">
        <is>
          <t>Primary beneficiaries present.</t>
        </is>
      </c>
      <c r="I74" s="32" t="inlineStr">
        <is>
          <t>1. Set primary total to 101%.
2. Proceed.</t>
        </is>
      </c>
      <c r="J74" s="32" t="inlineStr">
        <is>
          <t>101%</t>
        </is>
      </c>
      <c r="K74" s="32" t="inlineStr">
        <is>
          <t>Error shown; progression blocked.
Also verify: the rejected value is not saved (reload or GET shows the previous/empty value).</t>
        </is>
      </c>
      <c r="L74" s="31" t="inlineStr">
        <is>
          <t>Critical</t>
        </is>
      </c>
      <c r="M74" s="31" t="inlineStr">
        <is>
          <t>P1</t>
        </is>
      </c>
      <c r="N74" s="31" t="n">
        <v>2</v>
      </c>
      <c r="O74" s="32" t="inlineStr">
        <is>
          <t>@regression beneficiary</t>
        </is>
      </c>
      <c r="P74" s="32" t="inlineStr">
        <is>
          <t>Screenshot</t>
        </is>
      </c>
      <c r="Q74" s="31" t="inlineStr">
        <is>
          <t>Automated</t>
        </is>
      </c>
      <c r="R74" s="32" t="inlineStr">
        <is>
          <t>tests/beneficiaries/allocation.spec.ts</t>
        </is>
      </c>
      <c r="S74" s="31" t="inlineStr">
        <is>
          <t>Not run</t>
        </is>
      </c>
      <c r="T74" s="32" t="n"/>
      <c r="U74" s="31" t="inlineStr">
        <is>
          <t>Y</t>
        </is>
      </c>
      <c r="V74" s="31" t="inlineStr">
        <is>
          <t>Boundary</t>
        </is>
      </c>
      <c r="W74" s="32" t="inlineStr">
        <is>
          <t>-</t>
        </is>
      </c>
      <c r="X74" s="32" t="inlineStr">
        <is>
          <t>Creates its own application via fixture (independent; unique generated data).</t>
        </is>
      </c>
    </row>
    <row r="75" ht="46.25" customHeight="1" s="23">
      <c r="A75" s="31" t="inlineStr">
        <is>
          <t>TC-BEN-04</t>
        </is>
      </c>
      <c r="B75" s="32" t="inlineStr">
        <is>
          <t>Secondary allocation is validated separately</t>
        </is>
      </c>
      <c r="C75" s="32" t="inlineStr">
        <is>
          <t>Beneficiaries</t>
        </is>
      </c>
      <c r="D75" s="31" t="inlineStr">
        <is>
          <t>UI</t>
        </is>
      </c>
      <c r="E75" s="32" t="inlineStr">
        <is>
          <t>BEN-V04</t>
        </is>
      </c>
      <c r="F75" s="32" t="inlineStr">
        <is>
          <t>QR-07</t>
        </is>
      </c>
      <c r="G75" s="32" t="inlineStr">
        <is>
          <t>Secondary total not validated</t>
        </is>
      </c>
      <c r="H75" s="32" t="inlineStr">
        <is>
          <t>Primary at 100%.</t>
        </is>
      </c>
      <c r="I75" s="32" t="inlineStr">
        <is>
          <t>1. Add secondary beneficiaries totalling 90%.
2. Proceed.
3. Correct to 100%.</t>
        </is>
      </c>
      <c r="J75" s="32" t="inlineStr">
        <is>
          <t>Secondary 90% then 100%</t>
        </is>
      </c>
      <c r="K75" s="32" t="inlineStr">
        <is>
          <t>90% blocks with separate secondary-total error; 100% accepted; primary total unaffected.
Also verify: the rejected value is not saved (reload or GET shows the previous/empty value).</t>
        </is>
      </c>
      <c r="L75" s="31" t="inlineStr">
        <is>
          <t>High</t>
        </is>
      </c>
      <c r="M75" s="31" t="inlineStr">
        <is>
          <t>P2</t>
        </is>
      </c>
      <c r="N75" s="31" t="n">
        <v>2</v>
      </c>
      <c r="O75" s="32" t="inlineStr">
        <is>
          <t>@regression beneficiary</t>
        </is>
      </c>
      <c r="P75" s="32" t="inlineStr">
        <is>
          <t>Screenshots</t>
        </is>
      </c>
      <c r="Q75" s="31" t="inlineStr">
        <is>
          <t>Automated</t>
        </is>
      </c>
      <c r="R75" s="32" t="inlineStr">
        <is>
          <t>tests/beneficiaries/allocation.spec.ts</t>
        </is>
      </c>
      <c r="S75" s="31" t="inlineStr">
        <is>
          <t>Not run</t>
        </is>
      </c>
      <c r="T75" s="32" t="n"/>
      <c r="U75" s="31" t="inlineStr">
        <is>
          <t>N</t>
        </is>
      </c>
      <c r="V75" s="31" t="inlineStr">
        <is>
          <t>Boundary</t>
        </is>
      </c>
      <c r="W75" s="32" t="inlineStr">
        <is>
          <t>-</t>
        </is>
      </c>
      <c r="X75" s="32" t="inlineStr">
        <is>
          <t>Creates its own application via fixture (independent; unique generated data).</t>
        </is>
      </c>
    </row>
    <row r="76" ht="46.25" customHeight="1" s="23">
      <c r="A76" s="31" t="inlineStr">
        <is>
          <t>TC-BEN-05</t>
        </is>
      </c>
      <c r="B76" s="32" t="inlineStr">
        <is>
          <t>Minor beneficiary requires guardian details</t>
        </is>
      </c>
      <c r="C76" s="32" t="inlineStr">
        <is>
          <t>Beneficiaries</t>
        </is>
      </c>
      <c r="D76" s="31" t="inlineStr">
        <is>
          <t>UI</t>
        </is>
      </c>
      <c r="E76" s="32" t="inlineStr">
        <is>
          <t>BEN-V05</t>
        </is>
      </c>
      <c r="F76" s="32" t="inlineStr">
        <is>
          <t>QR-07</t>
        </is>
      </c>
      <c r="G76" s="32" t="inlineStr">
        <is>
          <t>Minor without guardian accepted</t>
        </is>
      </c>
      <c r="H76" s="32" t="inlineStr">
        <is>
          <t>At Beneficiaries step.</t>
        </is>
      </c>
      <c r="I76" s="32" t="inlineStr">
        <is>
          <t>1. Add beneficiary with DOB 17y364d.
2. Leave guardian blank and save.
3. Fill guardian.</t>
        </is>
      </c>
      <c r="J76" s="32" t="inlineStr">
        <is>
          <t>Minor DOB</t>
        </is>
      </c>
      <c r="K76" s="32" t="inlineStr">
        <is>
          <t>Guardian fields appear and are mandatory; blank blocked; filled accepted.
Also verify: the rejected value is not saved (reload or GET shows the previous/empty value).</t>
        </is>
      </c>
      <c r="L76" s="31" t="inlineStr">
        <is>
          <t>Critical</t>
        </is>
      </c>
      <c r="M76" s="31" t="inlineStr">
        <is>
          <t>P1</t>
        </is>
      </c>
      <c r="N76" s="31" t="n">
        <v>2</v>
      </c>
      <c r="O76" s="32" t="inlineStr">
        <is>
          <t>@regression beneficiary</t>
        </is>
      </c>
      <c r="P76" s="32" t="inlineStr">
        <is>
          <t>Screenshots</t>
        </is>
      </c>
      <c r="Q76" s="31" t="inlineStr">
        <is>
          <t>Automated</t>
        </is>
      </c>
      <c r="R76" s="32" t="inlineStr">
        <is>
          <t>tests/beneficiaries/minor.spec.ts</t>
        </is>
      </c>
      <c r="S76" s="31" t="inlineStr">
        <is>
          <t>Not run</t>
        </is>
      </c>
      <c r="T76" s="32" t="n"/>
      <c r="U76" s="31" t="inlineStr">
        <is>
          <t>Y</t>
        </is>
      </c>
      <c r="V76" s="31" t="inlineStr">
        <is>
          <t>Negative</t>
        </is>
      </c>
      <c r="W76" s="32" t="inlineStr">
        <is>
          <t>-</t>
        </is>
      </c>
      <c r="X76" s="32" t="inlineStr">
        <is>
          <t>Creates its own application via fixture (independent; unique generated data).</t>
        </is>
      </c>
    </row>
    <row r="77" ht="23.85" customHeight="1" s="23">
      <c r="A77" s="31" t="inlineStr">
        <is>
          <t>TC-BEN-06</t>
        </is>
      </c>
      <c r="B77" s="32" t="inlineStr">
        <is>
          <t>Trust beneficiary shows trust-specific fields</t>
        </is>
      </c>
      <c r="C77" s="32" t="inlineStr">
        <is>
          <t>Beneficiaries</t>
        </is>
      </c>
      <c r="D77" s="31" t="inlineStr">
        <is>
          <t>UI</t>
        </is>
      </c>
      <c r="E77" s="32" t="inlineStr">
        <is>
          <t>BEN-V06</t>
        </is>
      </c>
      <c r="F77" s="32" t="inlineStr">
        <is>
          <t>QR-07</t>
        </is>
      </c>
      <c r="G77" s="32" t="inlineStr">
        <is>
          <t>Type-specific fields missing</t>
        </is>
      </c>
      <c r="H77" s="32" t="inlineStr">
        <is>
          <t>Add beneficiary form open.</t>
        </is>
      </c>
      <c r="I77" s="32" t="inlineStr">
        <is>
          <t>1. Select type Trust.</t>
        </is>
      </c>
      <c r="J77" s="32" t="inlineStr">
        <is>
          <t>Trust type</t>
        </is>
      </c>
      <c r="K77" s="32" t="inlineStr">
        <is>
          <t>Trust Name, Trustee Name and Trust Date fields shown and mandatory.</t>
        </is>
      </c>
      <c r="L77" s="31" t="inlineStr">
        <is>
          <t>Medium</t>
        </is>
      </c>
      <c r="M77" s="31" t="inlineStr">
        <is>
          <t>P2</t>
        </is>
      </c>
      <c r="N77" s="31" t="n">
        <v>3</v>
      </c>
      <c r="O77" s="32" t="inlineStr">
        <is>
          <t>@regression beneficiary</t>
        </is>
      </c>
      <c r="P77" s="32" t="inlineStr">
        <is>
          <t>Screenshot</t>
        </is>
      </c>
      <c r="Q77" s="31" t="inlineStr">
        <is>
          <t>Automated</t>
        </is>
      </c>
      <c r="R77" s="32" t="inlineStr">
        <is>
          <t>tests/beneficiaries/types.spec.ts</t>
        </is>
      </c>
      <c r="S77" s="31" t="inlineStr">
        <is>
          <t>Not run</t>
        </is>
      </c>
      <c r="T77" s="32" t="n"/>
      <c r="U77" s="31" t="inlineStr">
        <is>
          <t>N</t>
        </is>
      </c>
      <c r="V77" s="31" t="inlineStr">
        <is>
          <t>Positive</t>
        </is>
      </c>
      <c r="W77" s="32" t="inlineStr">
        <is>
          <t>-</t>
        </is>
      </c>
      <c r="X77" s="32" t="inlineStr">
        <is>
          <t>Creates its own application via fixture (independent; unique generated data).</t>
        </is>
      </c>
    </row>
    <row r="78" ht="23.85" customHeight="1" s="23">
      <c r="A78" s="31" t="inlineStr">
        <is>
          <t>TC-BEN-07</t>
        </is>
      </c>
      <c r="B78" s="32" t="inlineStr">
        <is>
          <t>Organization beneficiary shows organization fields</t>
        </is>
      </c>
      <c r="C78" s="32" t="inlineStr">
        <is>
          <t>Beneficiaries</t>
        </is>
      </c>
      <c r="D78" s="31" t="inlineStr">
        <is>
          <t>UI</t>
        </is>
      </c>
      <c r="E78" s="32" t="inlineStr">
        <is>
          <t>BEN-V07</t>
        </is>
      </c>
      <c r="F78" s="32" t="inlineStr">
        <is>
          <t>QR-07</t>
        </is>
      </c>
      <c r="G78" s="32" t="inlineStr">
        <is>
          <t>Type-specific fields missing</t>
        </is>
      </c>
      <c r="H78" s="32" t="inlineStr">
        <is>
          <t>Add beneficiary form open.</t>
        </is>
      </c>
      <c r="I78" s="32" t="inlineStr">
        <is>
          <t>1. Select type Organization.</t>
        </is>
      </c>
      <c r="J78" s="32" t="inlineStr">
        <is>
          <t>Organization type</t>
        </is>
      </c>
      <c r="K78" s="32" t="inlineStr">
        <is>
          <t>Registration and contact fields shown and mandatory.</t>
        </is>
      </c>
      <c r="L78" s="31" t="inlineStr">
        <is>
          <t>Medium</t>
        </is>
      </c>
      <c r="M78" s="31" t="inlineStr">
        <is>
          <t>P2</t>
        </is>
      </c>
      <c r="N78" s="31" t="n">
        <v>3</v>
      </c>
      <c r="O78" s="32" t="inlineStr">
        <is>
          <t>@regression beneficiary</t>
        </is>
      </c>
      <c r="P78" s="32" t="inlineStr">
        <is>
          <t>Screenshot</t>
        </is>
      </c>
      <c r="Q78" s="31" t="inlineStr">
        <is>
          <t>Automated</t>
        </is>
      </c>
      <c r="R78" s="32" t="inlineStr">
        <is>
          <t>tests/beneficiaries/types.spec.ts</t>
        </is>
      </c>
      <c r="S78" s="31" t="inlineStr">
        <is>
          <t>Not run</t>
        </is>
      </c>
      <c r="T78" s="32" t="n"/>
      <c r="U78" s="31" t="inlineStr">
        <is>
          <t>N</t>
        </is>
      </c>
      <c r="V78" s="31" t="inlineStr">
        <is>
          <t>Positive</t>
        </is>
      </c>
      <c r="W78" s="32" t="inlineStr">
        <is>
          <t>-</t>
        </is>
      </c>
      <c r="X78" s="32" t="inlineStr">
        <is>
          <t>Creates its own application via fixture (independent; unique generated data).</t>
        </is>
      </c>
    </row>
    <row r="79" ht="46.25" customHeight="1" s="23">
      <c r="A79" s="31" t="inlineStr">
        <is>
          <t>TC-BEN-08</t>
        </is>
      </c>
      <c r="B79" s="32" t="inlineStr">
        <is>
          <t>Duplicate beneficiary (Name + DOB + Relationship) is blocked</t>
        </is>
      </c>
      <c r="C79" s="32" t="inlineStr">
        <is>
          <t>Beneficiaries</t>
        </is>
      </c>
      <c r="D79" s="31" t="inlineStr">
        <is>
          <t>UI</t>
        </is>
      </c>
      <c r="E79" s="32" t="inlineStr">
        <is>
          <t>BEN-V08</t>
        </is>
      </c>
      <c r="F79" s="32" t="inlineStr">
        <is>
          <t>QR-07</t>
        </is>
      </c>
      <c r="G79" s="32" t="inlineStr">
        <is>
          <t>Duplicates allowed</t>
        </is>
      </c>
      <c r="H79" s="32" t="inlineStr">
        <is>
          <t>One beneficiary already added.</t>
        </is>
      </c>
      <c r="I79" s="32" t="inlineStr">
        <is>
          <t>1. Add second beneficiary with same name, DOB and relationship.</t>
        </is>
      </c>
      <c r="J79" s="32" t="inlineStr">
        <is>
          <t>Duplicate record</t>
        </is>
      </c>
      <c r="K79" s="32" t="inlineStr">
        <is>
          <t>Duplicate error displayed; second record not added.
Also verify: the rejected value is not saved (reload or GET shows the previous/empty value).</t>
        </is>
      </c>
      <c r="L79" s="31" t="inlineStr">
        <is>
          <t>High</t>
        </is>
      </c>
      <c r="M79" s="31" t="inlineStr">
        <is>
          <t>P1</t>
        </is>
      </c>
      <c r="N79" s="31" t="n">
        <v>2</v>
      </c>
      <c r="O79" s="32" t="inlineStr">
        <is>
          <t>@regression beneficiary</t>
        </is>
      </c>
      <c r="P79" s="32" t="inlineStr">
        <is>
          <t>Screenshot</t>
        </is>
      </c>
      <c r="Q79" s="31" t="inlineStr">
        <is>
          <t>Automated</t>
        </is>
      </c>
      <c r="R79" s="32" t="inlineStr">
        <is>
          <t>tests/beneficiaries/duplicates.spec.ts</t>
        </is>
      </c>
      <c r="S79" s="31" t="inlineStr">
        <is>
          <t>Not run</t>
        </is>
      </c>
      <c r="T79" s="32" t="n"/>
      <c r="U79" s="31" t="inlineStr">
        <is>
          <t>N</t>
        </is>
      </c>
      <c r="V79" s="31" t="inlineStr">
        <is>
          <t>Negative</t>
        </is>
      </c>
      <c r="W79" s="32" t="inlineStr">
        <is>
          <t>-</t>
        </is>
      </c>
      <c r="X79" s="32" t="inlineStr">
        <is>
          <t>Creates its own application via fixture (independent; unique generated data).</t>
        </is>
      </c>
    </row>
    <row r="80" ht="23.85" customHeight="1" s="23">
      <c r="A80" s="31" t="inlineStr">
        <is>
          <t>TC-BEN-09</t>
        </is>
      </c>
      <c r="B80" s="32" t="inlineStr">
        <is>
          <t>Removing a beneficiary updates the allocation total</t>
        </is>
      </c>
      <c r="C80" s="32" t="inlineStr">
        <is>
          <t>Beneficiaries</t>
        </is>
      </c>
      <c r="D80" s="31" t="inlineStr">
        <is>
          <t>UI</t>
        </is>
      </c>
      <c r="E80" s="32" t="inlineStr">
        <is>
          <t>BEN-V09</t>
        </is>
      </c>
      <c r="F80" s="32" t="inlineStr">
        <is>
          <t>QR-07</t>
        </is>
      </c>
      <c r="G80" s="32" t="inlineStr">
        <is>
          <t>Removal leaves wrong total</t>
        </is>
      </c>
      <c r="H80" s="32" t="inlineStr">
        <is>
          <t>Two primary beneficiaries 60% / 40%.</t>
        </is>
      </c>
      <c r="I80" s="32" t="inlineStr">
        <is>
          <t>1. Remove the 40% beneficiary.
2. Read running total.</t>
        </is>
      </c>
      <c r="J80" s="32" t="inlineStr">
        <is>
          <t>60/40 split</t>
        </is>
      </c>
      <c r="K80" s="32" t="inlineStr">
        <is>
          <t>Running total updates to 60% and the 100% error appears.</t>
        </is>
      </c>
      <c r="L80" s="31" t="inlineStr">
        <is>
          <t>High</t>
        </is>
      </c>
      <c r="M80" s="31" t="inlineStr">
        <is>
          <t>P2</t>
        </is>
      </c>
      <c r="N80" s="31" t="n">
        <v>2</v>
      </c>
      <c r="O80" s="32" t="inlineStr">
        <is>
          <t>@regression beneficiary</t>
        </is>
      </c>
      <c r="P80" s="32" t="inlineStr">
        <is>
          <t>Screenshot</t>
        </is>
      </c>
      <c r="Q80" s="31" t="inlineStr">
        <is>
          <t>Automated</t>
        </is>
      </c>
      <c r="R80" s="32" t="inlineStr">
        <is>
          <t>tests/beneficiaries/allocation.spec.ts</t>
        </is>
      </c>
      <c r="S80" s="31" t="inlineStr">
        <is>
          <t>Not run</t>
        </is>
      </c>
      <c r="T80" s="32" t="n"/>
      <c r="U80" s="31" t="inlineStr">
        <is>
          <t>N</t>
        </is>
      </c>
      <c r="V80" s="31" t="inlineStr">
        <is>
          <t>Positive</t>
        </is>
      </c>
      <c r="W80" s="32" t="inlineStr">
        <is>
          <t>-</t>
        </is>
      </c>
      <c r="X80" s="32" t="inlineStr">
        <is>
          <t>Creates its own application via fixture (independent; unique generated data).</t>
        </is>
      </c>
    </row>
    <row r="81" ht="35.05" customHeight="1" s="23">
      <c r="A81" s="31" t="inlineStr">
        <is>
          <t>TC-BEN-10</t>
        </is>
      </c>
      <c r="B81" s="32" t="inlineStr">
        <is>
          <t>Irrevocable designation requires legal confirmation modal</t>
        </is>
      </c>
      <c r="C81" s="32" t="inlineStr">
        <is>
          <t>Beneficiaries</t>
        </is>
      </c>
      <c r="D81" s="31" t="inlineStr">
        <is>
          <t>UI</t>
        </is>
      </c>
      <c r="E81" s="32" t="inlineStr">
        <is>
          <t>Spec: special designation</t>
        </is>
      </c>
      <c r="F81" s="32" t="inlineStr">
        <is>
          <t>QR-07</t>
        </is>
      </c>
      <c r="G81" s="32" t="inlineStr">
        <is>
          <t>Irrevocable confirmation skipped</t>
        </is>
      </c>
      <c r="H81" s="32" t="inlineStr">
        <is>
          <t>Add beneficiary form open.</t>
        </is>
      </c>
      <c r="I81" s="32" t="inlineStr">
        <is>
          <t>1. Mark beneficiary as irrevocable.
2. Save.
3. Cancel the modal, then retry and confirm.</t>
        </is>
      </c>
      <c r="J81" s="32" t="inlineStr">
        <is>
          <t>Irrevocable flag</t>
        </is>
      </c>
      <c r="K81" s="32" t="inlineStr">
        <is>
          <t>Confirmation modal appears; cancel keeps it unsaved as irrevocable; confirm saves.</t>
        </is>
      </c>
      <c r="L81" s="31" t="inlineStr">
        <is>
          <t>Medium</t>
        </is>
      </c>
      <c r="M81" s="31" t="inlineStr">
        <is>
          <t>P2</t>
        </is>
      </c>
      <c r="N81" s="31" t="n">
        <v>3</v>
      </c>
      <c r="O81" s="32" t="inlineStr">
        <is>
          <t>@regression beneficiary</t>
        </is>
      </c>
      <c r="P81" s="32" t="inlineStr">
        <is>
          <t>Screenshot of modal</t>
        </is>
      </c>
      <c r="Q81" s="31" t="inlineStr">
        <is>
          <t>Automated</t>
        </is>
      </c>
      <c r="R81" s="32" t="inlineStr">
        <is>
          <t>tests/beneficiaries/special.spec.ts</t>
        </is>
      </c>
      <c r="S81" s="31" t="inlineStr">
        <is>
          <t>Not run</t>
        </is>
      </c>
      <c r="T81" s="32" t="n"/>
      <c r="U81" s="31" t="inlineStr">
        <is>
          <t>N</t>
        </is>
      </c>
      <c r="V81" s="31" t="inlineStr">
        <is>
          <t>Positive</t>
        </is>
      </c>
      <c r="W81" s="32" t="inlineStr">
        <is>
          <t>-</t>
        </is>
      </c>
      <c r="X81" s="32" t="inlineStr">
        <is>
          <t>Creates its own application via fixture (independent; unique generated data).</t>
        </is>
      </c>
    </row>
    <row r="82" ht="46.25" customHeight="1" s="23">
      <c r="A82" s="31" t="inlineStr">
        <is>
          <t>TC-BEN-11</t>
        </is>
      </c>
      <c r="B82" s="32" t="inlineStr">
        <is>
          <t>At least one primary beneficiary is mandatory</t>
        </is>
      </c>
      <c r="C82" s="32" t="inlineStr">
        <is>
          <t>Beneficiaries</t>
        </is>
      </c>
      <c r="D82" s="31" t="inlineStr">
        <is>
          <t>UI</t>
        </is>
      </c>
      <c r="E82" s="32" t="inlineStr">
        <is>
          <t>Spec: primary beneficiary</t>
        </is>
      </c>
      <c r="F82" s="32" t="inlineStr">
        <is>
          <t>QR-07, QR-09</t>
        </is>
      </c>
      <c r="G82" s="32" t="inlineStr">
        <is>
          <t>Missing primary beneficiary accepted</t>
        </is>
      </c>
      <c r="H82" s="32" t="inlineStr">
        <is>
          <t>Application with no beneficiaries.</t>
        </is>
      </c>
      <c r="I82" s="32" t="inlineStr">
        <is>
          <t>1. Proceed from Beneficiaries step with none added.
2. Check review summary.</t>
        </is>
      </c>
      <c r="J82" s="32" t="inlineStr">
        <is>
          <t>No beneficiaries</t>
        </is>
      </c>
      <c r="K82" s="32" t="inlineStr">
        <is>
          <t>Progression/submission blocked and summary lists missing primary beneficiary.
Also verify: the rejected value is not saved (reload or GET shows the previous/empty value).</t>
        </is>
      </c>
      <c r="L82" s="31" t="inlineStr">
        <is>
          <t>High</t>
        </is>
      </c>
      <c r="M82" s="31" t="inlineStr">
        <is>
          <t>P2</t>
        </is>
      </c>
      <c r="N82" s="31" t="n">
        <v>3</v>
      </c>
      <c r="O82" s="32" t="inlineStr">
        <is>
          <t>@regression beneficiary</t>
        </is>
      </c>
      <c r="P82" s="32" t="inlineStr">
        <is>
          <t>Screenshot</t>
        </is>
      </c>
      <c r="Q82" s="31" t="inlineStr">
        <is>
          <t>Automated</t>
        </is>
      </c>
      <c r="R82" s="32" t="inlineStr">
        <is>
          <t>tests/beneficiaries/allocation.spec.ts</t>
        </is>
      </c>
      <c r="S82" s="31" t="inlineStr">
        <is>
          <t>Not run</t>
        </is>
      </c>
      <c r="T82" s="32" t="n"/>
      <c r="U82" s="31" t="inlineStr">
        <is>
          <t>N</t>
        </is>
      </c>
      <c r="V82" s="31" t="inlineStr">
        <is>
          <t>Negative</t>
        </is>
      </c>
      <c r="W82" s="32" t="inlineStr">
        <is>
          <t>-</t>
        </is>
      </c>
      <c r="X82" s="32" t="inlineStr">
        <is>
          <t>Creates its own application via fixture (independent; unique generated data).</t>
        </is>
      </c>
    </row>
    <row r="83" ht="46.25" customHeight="1" s="23">
      <c r="A83" s="31" t="inlineStr">
        <is>
          <t>TC-BEN-12</t>
        </is>
      </c>
      <c r="B83" s="32" t="inlineStr">
        <is>
          <t>Editing a beneficiary updates the record and allocation total</t>
        </is>
      </c>
      <c r="C83" s="32" t="inlineStr">
        <is>
          <t>Beneficiaries</t>
        </is>
      </c>
      <c r="D83" s="31" t="inlineStr">
        <is>
          <t>UI</t>
        </is>
      </c>
      <c r="E83" s="32" t="inlineStr">
        <is>
          <t>Spec: add/edit/remove beneficiaries</t>
        </is>
      </c>
      <c r="F83" s="32" t="inlineStr">
        <is>
          <t>QR-07, QR-10</t>
        </is>
      </c>
      <c r="G83" s="32" t="inlineStr">
        <is>
          <t>Edit not saved / total stale</t>
        </is>
      </c>
      <c r="H83" s="32" t="inlineStr">
        <is>
          <t>One primary beneficiary at 100%.</t>
        </is>
      </c>
      <c r="I83" s="32" t="inlineStr">
        <is>
          <t>1. Edit the beneficiary's name and allocation to 50%.
2. Save.
3. Read card and running total.
4. Reload page.</t>
        </is>
      </c>
      <c r="J83" s="32" t="inlineStr">
        <is>
          <t>Name change; 50%</t>
        </is>
      </c>
      <c r="K83" s="32" t="inlineStr">
        <is>
          <t>Card shows new name; running total 50% with allocation error; values persist after reload.</t>
        </is>
      </c>
      <c r="L83" s="31" t="inlineStr">
        <is>
          <t>Medium</t>
        </is>
      </c>
      <c r="M83" s="31" t="inlineStr">
        <is>
          <t>P2</t>
        </is>
      </c>
      <c r="N83" s="31" t="n">
        <v>3</v>
      </c>
      <c r="O83" s="32" t="inlineStr">
        <is>
          <t>@regression beneficiary</t>
        </is>
      </c>
      <c r="P83" s="32" t="inlineStr">
        <is>
          <t>Screenshots</t>
        </is>
      </c>
      <c r="Q83" s="31" t="inlineStr">
        <is>
          <t>Automated</t>
        </is>
      </c>
      <c r="R83" s="32" t="inlineStr">
        <is>
          <t>tests/beneficiaries/beneficiaries.spec.ts</t>
        </is>
      </c>
      <c r="S83" s="31" t="inlineStr">
        <is>
          <t>Not run</t>
        </is>
      </c>
      <c r="T83" s="32" t="n"/>
      <c r="U83" s="31" t="inlineStr">
        <is>
          <t>N</t>
        </is>
      </c>
      <c r="V83" s="31" t="inlineStr">
        <is>
          <t>Positive</t>
        </is>
      </c>
      <c r="W83" s="32" t="inlineStr">
        <is>
          <t>-</t>
        </is>
      </c>
      <c r="X83" s="32" t="inlineStr">
        <is>
          <t>Creates its own application via fixture (independent; unique generated data).</t>
        </is>
      </c>
    </row>
    <row r="84" ht="57.45" customHeight="1" s="23">
      <c r="A84" s="31" t="inlineStr">
        <is>
          <t>TC-BEN-13</t>
        </is>
      </c>
      <c r="B84" s="32" t="inlineStr">
        <is>
          <t>Invalid allocation inputs (0, negative, non-numeric, decimals) are handled</t>
        </is>
      </c>
      <c r="C84" s="32" t="inlineStr">
        <is>
          <t>Beneficiaries</t>
        </is>
      </c>
      <c r="D84" s="31" t="inlineStr">
        <is>
          <t>UI</t>
        </is>
      </c>
      <c r="E84" s="32" t="inlineStr">
        <is>
          <t>Spec: allocation percentage validation</t>
        </is>
      </c>
      <c r="F84" s="32" t="inlineStr">
        <is>
          <t>QR-07</t>
        </is>
      </c>
      <c r="G84" s="32" t="inlineStr">
        <is>
          <t>Invalid allocation accepted</t>
        </is>
      </c>
      <c r="H84" s="32" t="inlineStr">
        <is>
          <t>Add beneficiary form open.</t>
        </is>
      </c>
      <c r="I84" s="32" t="inlineStr">
        <is>
          <t>1. Enter 0, -10, 'abc', 33.333, 100.01 as allocation.
2. Save.</t>
        </is>
      </c>
      <c r="J84" s="32" t="inlineStr">
        <is>
          <t>0; -10; 'abc'; 33.333; 100.01</t>
        </is>
      </c>
      <c r="K84" s="32" t="inlineStr">
        <is>
          <t>Each invalid value rejected (decimal behavior per confirmed rule); no beneficiary saved with invalid value.
Also verify: the rejected value is not saved (reload or GET shows the previous/empty value).</t>
        </is>
      </c>
      <c r="L84" s="31" t="inlineStr">
        <is>
          <t>High</t>
        </is>
      </c>
      <c r="M84" s="31" t="inlineStr">
        <is>
          <t>P2</t>
        </is>
      </c>
      <c r="N84" s="31" t="n">
        <v>3</v>
      </c>
      <c r="O84" s="32" t="inlineStr">
        <is>
          <t>@regression beneficiary</t>
        </is>
      </c>
      <c r="P84" s="32" t="inlineStr">
        <is>
          <t>Screenshot per value</t>
        </is>
      </c>
      <c r="Q84" s="31" t="inlineStr">
        <is>
          <t>Automated</t>
        </is>
      </c>
      <c r="R84" s="32" t="inlineStr">
        <is>
          <t>tests/beneficiaries/allocation.spec.ts</t>
        </is>
      </c>
      <c r="S84" s="31" t="inlineStr">
        <is>
          <t>Not run</t>
        </is>
      </c>
      <c r="T84" s="32" t="n"/>
      <c r="U84" s="31" t="inlineStr">
        <is>
          <t>N</t>
        </is>
      </c>
      <c r="V84" s="31" t="inlineStr">
        <is>
          <t>Boundary</t>
        </is>
      </c>
      <c r="W84" s="32" t="inlineStr">
        <is>
          <t>-</t>
        </is>
      </c>
      <c r="X84" s="32" t="inlineStr">
        <is>
          <t>Creates its own application via fixture (independent; unique generated data).</t>
        </is>
      </c>
    </row>
    <row r="85" ht="46.25" customHeight="1" s="23">
      <c r="A85" s="31" t="inlineStr">
        <is>
          <t>TC-BEN-14</t>
        </is>
      </c>
      <c r="B85" s="32" t="inlineStr">
        <is>
          <t>Beneficiaries persist after save, navigation and resume</t>
        </is>
      </c>
      <c r="C85" s="32" t="inlineStr">
        <is>
          <t>Beneficiaries</t>
        </is>
      </c>
      <c r="D85" s="31" t="inlineStr">
        <is>
          <t>UI</t>
        </is>
      </c>
      <c r="E85" s="32" t="inlineStr">
        <is>
          <t>Spec: persistence</t>
        </is>
      </c>
      <c r="F85" s="32" t="inlineStr">
        <is>
          <t>QR-07, QR-10</t>
        </is>
      </c>
      <c r="G85" s="32" t="inlineStr">
        <is>
          <t>Beneficiary data not persisted</t>
        </is>
      </c>
      <c r="H85" s="32" t="inlineStr">
        <is>
          <t>Application with 2 primary and 1 secondary beneficiary saved.</t>
        </is>
      </c>
      <c r="I85" s="32" t="inlineStr">
        <is>
          <t>1. Save and go to dashboard.
2. Resume the application.
3. Open Beneficiaries step.
4. (If available) compare with GET beneficiaries / DB rows.</t>
        </is>
      </c>
      <c r="J85" s="32" t="inlineStr">
        <is>
          <t>60/40 primary + 100 secondary</t>
        </is>
      </c>
      <c r="K85" s="32" t="inlineStr">
        <is>
          <t>All beneficiaries, types, allocations and totals restored exactly; API/DB rows match.</t>
        </is>
      </c>
      <c r="L85" s="31" t="inlineStr">
        <is>
          <t>High</t>
        </is>
      </c>
      <c r="M85" s="31" t="inlineStr">
        <is>
          <t>P1</t>
        </is>
      </c>
      <c r="N85" s="31" t="n">
        <v>2</v>
      </c>
      <c r="O85" s="32" t="inlineStr">
        <is>
          <t>@regression beneficiary</t>
        </is>
      </c>
      <c r="P85" s="32" t="inlineStr">
        <is>
          <t>Screenshot + API/DB comparison</t>
        </is>
      </c>
      <c r="Q85" s="31" t="inlineStr">
        <is>
          <t>Automated</t>
        </is>
      </c>
      <c r="R85" s="32" t="inlineStr">
        <is>
          <t>tests/beneficiaries/persistence.spec.ts</t>
        </is>
      </c>
      <c r="S85" s="31" t="inlineStr">
        <is>
          <t>Not run</t>
        </is>
      </c>
      <c r="T85" s="32" t="n"/>
      <c r="U85" s="31" t="inlineStr">
        <is>
          <t>N</t>
        </is>
      </c>
      <c r="V85" s="31" t="inlineStr">
        <is>
          <t>Positive</t>
        </is>
      </c>
      <c r="W85" s="32" t="inlineStr">
        <is>
          <t>API: GET beneficiaries; DB beneficiary rows</t>
        </is>
      </c>
      <c r="X85" s="32" t="inlineStr">
        <is>
          <t>Creates its own application via fixture (independent; unique generated data).</t>
        </is>
      </c>
    </row>
    <row r="86" ht="23.85" customHeight="1" s="23">
      <c r="A86" s="31" t="inlineStr">
        <is>
          <t>TC-DOC-01</t>
        </is>
      </c>
      <c r="B86" s="32" t="inlineStr">
        <is>
          <t>Valid KYC document uploads successfully</t>
        </is>
      </c>
      <c r="C86" s="32" t="inlineStr">
        <is>
          <t>Documents &amp; Validation</t>
        </is>
      </c>
      <c r="D86" s="31" t="inlineStr">
        <is>
          <t>UI</t>
        </is>
      </c>
      <c r="E86" s="32" t="inlineStr">
        <is>
          <t>DOC-V01</t>
        </is>
      </c>
      <c r="F86" s="32" t="inlineStr">
        <is>
          <t>QR-08</t>
        </is>
      </c>
      <c r="G86" s="32" t="inlineStr">
        <is>
          <t>Valid upload rejected</t>
        </is>
      </c>
      <c r="H86" s="32" t="inlineStr">
        <is>
          <t>On Documents step.</t>
        </is>
      </c>
      <c r="I86" s="32" t="inlineStr">
        <is>
          <t>1. Upload small PDF, JPG and PNG.</t>
        </is>
      </c>
      <c r="J86" s="32" t="inlineStr">
        <is>
          <t>fixtures/files/valid.*</t>
        </is>
      </c>
      <c r="K86" s="32" t="inlineStr">
        <is>
          <t>Each file shows uploaded status.</t>
        </is>
      </c>
      <c r="L86" s="31" t="inlineStr">
        <is>
          <t>High</t>
        </is>
      </c>
      <c r="M86" s="31" t="inlineStr">
        <is>
          <t>P1</t>
        </is>
      </c>
      <c r="N86" s="31" t="n">
        <v>1</v>
      </c>
      <c r="O86" s="32" t="inlineStr">
        <is>
          <t>@smoke @regression documents</t>
        </is>
      </c>
      <c r="P86" s="32" t="inlineStr">
        <is>
          <t>Screenshot of statuses</t>
        </is>
      </c>
      <c r="Q86" s="31" t="inlineStr">
        <is>
          <t>Automated</t>
        </is>
      </c>
      <c r="R86" s="32" t="inlineStr">
        <is>
          <t>tests/documents/upload.spec.ts</t>
        </is>
      </c>
      <c r="S86" s="31" t="inlineStr">
        <is>
          <t>Not run</t>
        </is>
      </c>
      <c r="T86" s="32" t="n"/>
      <c r="U86" s="31" t="inlineStr">
        <is>
          <t>Y</t>
        </is>
      </c>
      <c r="V86" s="31" t="inlineStr">
        <is>
          <t>Positive</t>
        </is>
      </c>
      <c r="W86" s="32" t="inlineStr">
        <is>
          <t>-</t>
        </is>
      </c>
      <c r="X86" s="32" t="inlineStr">
        <is>
          <t>Creates its own application via fixture (independent; unique generated data).</t>
        </is>
      </c>
    </row>
    <row r="87" ht="35.05" customHeight="1" s="23">
      <c r="A87" s="31" t="inlineStr">
        <is>
          <t>TC-DOC-02</t>
        </is>
      </c>
      <c r="B87" s="32" t="inlineStr">
        <is>
          <t>Unsupported file type is rejected on Documents step</t>
        </is>
      </c>
      <c r="C87" s="32" t="inlineStr">
        <is>
          <t>Documents &amp; Validation</t>
        </is>
      </c>
      <c r="D87" s="31" t="inlineStr">
        <is>
          <t>UI</t>
        </is>
      </c>
      <c r="E87" s="32" t="inlineStr">
        <is>
          <t>DOC-V02</t>
        </is>
      </c>
      <c r="F87" s="32" t="inlineStr">
        <is>
          <t>QR-08</t>
        </is>
      </c>
      <c r="G87" s="32" t="inlineStr">
        <is>
          <t>Bad file types accepted</t>
        </is>
      </c>
      <c r="H87" s="32" t="inlineStr">
        <is>
          <t>On Documents step.</t>
        </is>
      </c>
      <c r="I87" s="32" t="inlineStr">
        <is>
          <t>1. Upload .exe and .txt files.</t>
        </is>
      </c>
      <c r="J87" s="32" t="inlineStr">
        <is>
          <t>invalid files</t>
        </is>
      </c>
      <c r="K87" s="32" t="inlineStr">
        <is>
          <t>Error message; no uploaded status.
Also verify: the rejected value is not saved (reload or GET shows the previous/empty value).</t>
        </is>
      </c>
      <c r="L87" s="31" t="inlineStr">
        <is>
          <t>High</t>
        </is>
      </c>
      <c r="M87" s="31" t="inlineStr">
        <is>
          <t>P1</t>
        </is>
      </c>
      <c r="N87" s="31" t="n">
        <v>2</v>
      </c>
      <c r="O87" s="32" t="inlineStr">
        <is>
          <t>@regression documents</t>
        </is>
      </c>
      <c r="P87" s="32" t="inlineStr">
        <is>
          <t>Screenshot</t>
        </is>
      </c>
      <c r="Q87" s="31" t="inlineStr">
        <is>
          <t>Automated</t>
        </is>
      </c>
      <c r="R87" s="32" t="inlineStr">
        <is>
          <t>tests/documents/upload.spec.ts</t>
        </is>
      </c>
      <c r="S87" s="31" t="inlineStr">
        <is>
          <t>Not run</t>
        </is>
      </c>
      <c r="T87" s="32" t="n"/>
      <c r="U87" s="31" t="inlineStr">
        <is>
          <t>N</t>
        </is>
      </c>
      <c r="V87" s="31" t="inlineStr">
        <is>
          <t>Negative</t>
        </is>
      </c>
      <c r="W87" s="32" t="inlineStr">
        <is>
          <t>-</t>
        </is>
      </c>
      <c r="X87" s="32" t="inlineStr">
        <is>
          <t>Creates its own application via fixture (independent; unique generated data).</t>
        </is>
      </c>
    </row>
    <row r="88" ht="46.25" customHeight="1" s="23">
      <c r="A88" s="31" t="inlineStr">
        <is>
          <t>TC-DOC-03</t>
        </is>
      </c>
      <c r="B88" s="32" t="inlineStr">
        <is>
          <t>File above maximum size is rejected</t>
        </is>
      </c>
      <c r="C88" s="32" t="inlineStr">
        <is>
          <t>Documents &amp; Validation</t>
        </is>
      </c>
      <c r="D88" s="31" t="inlineStr">
        <is>
          <t>UI</t>
        </is>
      </c>
      <c r="E88" s="32" t="inlineStr">
        <is>
          <t>DOC-V03</t>
        </is>
      </c>
      <c r="F88" s="32" t="inlineStr">
        <is>
          <t>QR-08</t>
        </is>
      </c>
      <c r="G88" s="32" t="inlineStr">
        <is>
          <t>Oversize files accepted</t>
        </is>
      </c>
      <c r="H88" s="32" t="inlineStr">
        <is>
          <t>Max size known (CONFIRM).</t>
        </is>
      </c>
      <c r="I88" s="32" t="inlineStr">
        <is>
          <t>1. Upload file just above max size.
2. Upload file just below max.</t>
        </is>
      </c>
      <c r="J88" s="32" t="inlineStr">
        <is>
          <t>Generated files max+1 byte / max-1 byte</t>
        </is>
      </c>
      <c r="K88" s="32" t="inlineStr">
        <is>
          <t>Oversize rejected with size message; under-limit accepted.
Also verify: the rejected value is not saved (reload or GET shows the previous/empty value).</t>
        </is>
      </c>
      <c r="L88" s="31" t="inlineStr">
        <is>
          <t>High</t>
        </is>
      </c>
      <c r="M88" s="31" t="inlineStr">
        <is>
          <t>P1</t>
        </is>
      </c>
      <c r="N88" s="31" t="n">
        <v>2</v>
      </c>
      <c r="O88" s="32" t="inlineStr">
        <is>
          <t>@regression documents</t>
        </is>
      </c>
      <c r="P88" s="32" t="inlineStr">
        <is>
          <t>Screenshots</t>
        </is>
      </c>
      <c r="Q88" s="31" t="inlineStr">
        <is>
          <t>Automated</t>
        </is>
      </c>
      <c r="R88" s="32" t="inlineStr">
        <is>
          <t>tests/documents/upload.spec.ts</t>
        </is>
      </c>
      <c r="S88" s="31" t="inlineStr">
        <is>
          <t>Not run</t>
        </is>
      </c>
      <c r="T88" s="32" t="inlineStr">
        <is>
          <t>Exact value/rule to be confirmed from app (see Open Items).</t>
        </is>
      </c>
      <c r="U88" s="31" t="inlineStr">
        <is>
          <t>N</t>
        </is>
      </c>
      <c r="V88" s="31" t="inlineStr">
        <is>
          <t>Boundary</t>
        </is>
      </c>
      <c r="W88" s="32" t="inlineStr">
        <is>
          <t>API: POST documents rejects oversize</t>
        </is>
      </c>
      <c r="X88" s="32" t="inlineStr">
        <is>
          <t>Creates its own application via fixture (independent; unique generated data).</t>
        </is>
      </c>
    </row>
    <row r="89" ht="35.05" customHeight="1" s="23">
      <c r="A89" s="31" t="inlineStr">
        <is>
          <t>TC-DOC-04</t>
        </is>
      </c>
      <c r="B89" s="32" t="inlineStr">
        <is>
          <t>Missing mandatory document blocks submission</t>
        </is>
      </c>
      <c r="C89" s="32" t="inlineStr">
        <is>
          <t>Documents &amp; Validation</t>
        </is>
      </c>
      <c r="D89" s="31" t="inlineStr">
        <is>
          <t>UI</t>
        </is>
      </c>
      <c r="E89" s="32" t="inlineStr">
        <is>
          <t>DOC-V04</t>
        </is>
      </c>
      <c r="F89" s="32" t="inlineStr">
        <is>
          <t>QR-08, QR-09</t>
        </is>
      </c>
      <c r="G89" s="32" t="inlineStr">
        <is>
          <t>Mandatory document not enforced</t>
        </is>
      </c>
      <c r="H89" s="32" t="inlineStr">
        <is>
          <t>Otherwise complete application with no KYC document.</t>
        </is>
      </c>
      <c r="I89" s="32" t="inlineStr">
        <is>
          <t>1. Go to review.
2. Attempt to submit.</t>
        </is>
      </c>
      <c r="J89" s="32" t="inlineStr">
        <is>
          <t>No documents</t>
        </is>
      </c>
      <c r="K89" s="32" t="inlineStr">
        <is>
          <t>Summary lists missing document; submit blocked.
Also verify: the rejected value is not saved (reload or GET shows the previous/empty value).</t>
        </is>
      </c>
      <c r="L89" s="31" t="inlineStr">
        <is>
          <t>Critical</t>
        </is>
      </c>
      <c r="M89" s="31" t="inlineStr">
        <is>
          <t>P1</t>
        </is>
      </c>
      <c r="N89" s="31" t="n">
        <v>2</v>
      </c>
      <c r="O89" s="32" t="inlineStr">
        <is>
          <t>@regression documents</t>
        </is>
      </c>
      <c r="P89" s="32" t="inlineStr">
        <is>
          <t>Screenshot of summary</t>
        </is>
      </c>
      <c r="Q89" s="31" t="inlineStr">
        <is>
          <t>Automated</t>
        </is>
      </c>
      <c r="R89" s="32" t="inlineStr">
        <is>
          <t>tests/documents/upload.spec.ts</t>
        </is>
      </c>
      <c r="S89" s="31" t="inlineStr">
        <is>
          <t>Not run</t>
        </is>
      </c>
      <c r="T89" s="32" t="n"/>
      <c r="U89" s="31" t="inlineStr">
        <is>
          <t>Y</t>
        </is>
      </c>
      <c r="V89" s="31" t="inlineStr">
        <is>
          <t>Negative</t>
        </is>
      </c>
      <c r="W89" s="32" t="inlineStr">
        <is>
          <t>-</t>
        </is>
      </c>
      <c r="X89" s="32" t="inlineStr">
        <is>
          <t>Creates its own application via fixture (independent; unique generated data).</t>
        </is>
      </c>
    </row>
    <row r="90" ht="35.05" customHeight="1" s="23">
      <c r="A90" s="31" t="inlineStr">
        <is>
          <t>TC-DOC-05</t>
        </is>
      </c>
      <c r="B90" s="32" t="inlineStr">
        <is>
          <t>Uploaded document status persists after reload and resume</t>
        </is>
      </c>
      <c r="C90" s="32" t="inlineStr">
        <is>
          <t>Documents &amp; Validation</t>
        </is>
      </c>
      <c r="D90" s="31" t="inlineStr">
        <is>
          <t>UI</t>
        </is>
      </c>
      <c r="E90" s="32" t="inlineStr">
        <is>
          <t>Spec: upload confirmation/status</t>
        </is>
      </c>
      <c r="F90" s="32" t="inlineStr">
        <is>
          <t>QR-08, QR-10</t>
        </is>
      </c>
      <c r="G90" s="32" t="inlineStr">
        <is>
          <t>Upload status not stored</t>
        </is>
      </c>
      <c r="H90" s="32" t="inlineStr">
        <is>
          <t>Valid document uploaded.</t>
        </is>
      </c>
      <c r="I90" s="32" t="inlineStr">
        <is>
          <t>1. Upload valid PDF.
2. Reload page.
3. Resume from dashboard.</t>
        </is>
      </c>
      <c r="J90" s="32" t="inlineStr">
        <is>
          <t>valid.pdf</t>
        </is>
      </c>
      <c r="K90" s="32" t="inlineStr">
        <is>
          <t>Document still listed as uploaded with correct name/status.</t>
        </is>
      </c>
      <c r="L90" s="31" t="inlineStr">
        <is>
          <t>Medium</t>
        </is>
      </c>
      <c r="M90" s="31" t="inlineStr">
        <is>
          <t>P2</t>
        </is>
      </c>
      <c r="N90" s="31" t="n">
        <v>3</v>
      </c>
      <c r="O90" s="32" t="inlineStr">
        <is>
          <t>@regression documents</t>
        </is>
      </c>
      <c r="P90" s="32" t="inlineStr">
        <is>
          <t>Screenshots</t>
        </is>
      </c>
      <c r="Q90" s="31" t="inlineStr">
        <is>
          <t>Automated</t>
        </is>
      </c>
      <c r="R90" s="32" t="inlineStr">
        <is>
          <t>tests/documents/upload.spec.ts</t>
        </is>
      </c>
      <c r="S90" s="31" t="inlineStr">
        <is>
          <t>Not run</t>
        </is>
      </c>
      <c r="T90" s="32" t="n"/>
      <c r="U90" s="31" t="inlineStr">
        <is>
          <t>N</t>
        </is>
      </c>
      <c r="V90" s="31" t="inlineStr">
        <is>
          <t>Positive</t>
        </is>
      </c>
      <c r="W90" s="32" t="inlineStr">
        <is>
          <t>-</t>
        </is>
      </c>
      <c r="X90" s="32" t="inlineStr">
        <is>
          <t>Creates its own application via fixture (independent; unique generated data).</t>
        </is>
      </c>
    </row>
    <row r="91" ht="23.85" customHeight="1" s="23">
      <c r="A91" s="31" t="inlineStr">
        <is>
          <t>TC-VAL-01</t>
        </is>
      </c>
      <c r="B91" s="32" t="inlineStr">
        <is>
          <t>Validation summary lists all unresolved errors grouped</t>
        </is>
      </c>
      <c r="C91" s="32" t="inlineStr">
        <is>
          <t>Documents &amp; Validation</t>
        </is>
      </c>
      <c r="D91" s="31" t="inlineStr">
        <is>
          <t>UI</t>
        </is>
      </c>
      <c r="E91" s="32" t="inlineStr">
        <is>
          <t>VAL-V01</t>
        </is>
      </c>
      <c r="F91" s="32" t="inlineStr">
        <is>
          <t>QR-08</t>
        </is>
      </c>
      <c r="G91" s="32" t="inlineStr">
        <is>
          <t>Summary stale or incomplete</t>
        </is>
      </c>
      <c r="H91" s="32" t="inlineStr">
        <is>
          <t>Incomplete application with several known gaps.</t>
        </is>
      </c>
      <c r="I91" s="32" t="inlineStr">
        <is>
          <t>1. Open /review for incomplete application.
2. Read summary.</t>
        </is>
      </c>
      <c r="J91" s="32" t="inlineStr">
        <is>
          <t>Application missing client, doc, beneficiary data</t>
        </is>
      </c>
      <c r="K91" s="32" t="inlineStr">
        <is>
          <t>Each known gap is listed, grouped by section; no phantom errors.</t>
        </is>
      </c>
      <c r="L91" s="31" t="inlineStr">
        <is>
          <t>High</t>
        </is>
      </c>
      <c r="M91" s="31" t="inlineStr">
        <is>
          <t>P1</t>
        </is>
      </c>
      <c r="N91" s="31" t="n">
        <v>2</v>
      </c>
      <c r="O91" s="32" t="inlineStr">
        <is>
          <t>@regression documents</t>
        </is>
      </c>
      <c r="P91" s="32" t="inlineStr">
        <is>
          <t>Screenshot of summary</t>
        </is>
      </c>
      <c r="Q91" s="31" t="inlineStr">
        <is>
          <t>Automated</t>
        </is>
      </c>
      <c r="R91" s="32" t="inlineStr">
        <is>
          <t>tests/documents/validation-summary.spec.ts</t>
        </is>
      </c>
      <c r="S91" s="31" t="inlineStr">
        <is>
          <t>Not run</t>
        </is>
      </c>
      <c r="T91" s="32" t="n"/>
      <c r="U91" s="31" t="inlineStr">
        <is>
          <t>N</t>
        </is>
      </c>
      <c r="V91" s="31" t="inlineStr">
        <is>
          <t>Positive</t>
        </is>
      </c>
      <c r="W91" s="32" t="inlineStr">
        <is>
          <t>-</t>
        </is>
      </c>
      <c r="X91" s="32" t="inlineStr">
        <is>
          <t>Creates its own application via fixture (independent; unique generated data).</t>
        </is>
      </c>
    </row>
    <row r="92" ht="23.85" customHeight="1" s="23">
      <c r="A92" s="31" t="inlineStr">
        <is>
          <t>TC-VAL-02</t>
        </is>
      </c>
      <c r="B92" s="32" t="inlineStr">
        <is>
          <t>Clicking a validation error navigates to the field</t>
        </is>
      </c>
      <c r="C92" s="32" t="inlineStr">
        <is>
          <t>Documents &amp; Validation</t>
        </is>
      </c>
      <c r="D92" s="31" t="inlineStr">
        <is>
          <t>UI</t>
        </is>
      </c>
      <c r="E92" s="32" t="inlineStr">
        <is>
          <t>VAL-V02</t>
        </is>
      </c>
      <c r="F92" s="32" t="inlineStr">
        <is>
          <t>QR-08</t>
        </is>
      </c>
      <c r="G92" s="32" t="inlineStr">
        <is>
          <t>Error link does not focus field</t>
        </is>
      </c>
      <c r="H92" s="32" t="inlineStr">
        <is>
          <t>Summary showing at least one error.</t>
        </is>
      </c>
      <c r="I92" s="32" t="inlineStr">
        <is>
          <t>1. Click an item in the summary.</t>
        </is>
      </c>
      <c r="J92" s="32" t="inlineStr">
        <is>
          <t>Any error item</t>
        </is>
      </c>
      <c r="K92" s="32" t="inlineStr">
        <is>
          <t>App navigates to the related section and focuses the field.</t>
        </is>
      </c>
      <c r="L92" s="31" t="inlineStr">
        <is>
          <t>Medium</t>
        </is>
      </c>
      <c r="M92" s="31" t="inlineStr">
        <is>
          <t>P2</t>
        </is>
      </c>
      <c r="N92" s="31" t="n">
        <v>3</v>
      </c>
      <c r="O92" s="32" t="inlineStr">
        <is>
          <t>@regression documents</t>
        </is>
      </c>
      <c r="P92" s="32" t="inlineStr">
        <is>
          <t>Screenshot / focus assertion</t>
        </is>
      </c>
      <c r="Q92" s="31" t="inlineStr">
        <is>
          <t>Automated</t>
        </is>
      </c>
      <c r="R92" s="32" t="inlineStr">
        <is>
          <t>tests/documents/validation-summary.spec.ts</t>
        </is>
      </c>
      <c r="S92" s="31" t="inlineStr">
        <is>
          <t>Not run</t>
        </is>
      </c>
      <c r="T92" s="32" t="n"/>
      <c r="U92" s="31" t="inlineStr">
        <is>
          <t>N</t>
        </is>
      </c>
      <c r="V92" s="31" t="inlineStr">
        <is>
          <t>Positive</t>
        </is>
      </c>
      <c r="W92" s="32" t="inlineStr">
        <is>
          <t>-</t>
        </is>
      </c>
      <c r="X92" s="32" t="inlineStr">
        <is>
          <t>Creates its own application via fixture (independent; unique generated data).</t>
        </is>
      </c>
    </row>
    <row r="93" ht="57.45" customHeight="1" s="23">
      <c r="A93" s="31" t="inlineStr">
        <is>
          <t>TC-VAL-03</t>
        </is>
      </c>
      <c r="B93" s="32" t="inlineStr">
        <is>
          <t>Submit stays disabled until critical errors are resolved</t>
        </is>
      </c>
      <c r="C93" s="32" t="inlineStr">
        <is>
          <t>Documents &amp; Validation</t>
        </is>
      </c>
      <c r="D93" s="31" t="inlineStr">
        <is>
          <t>UI</t>
        </is>
      </c>
      <c r="E93" s="32" t="inlineStr">
        <is>
          <t>VAL-V03</t>
        </is>
      </c>
      <c r="F93" s="32" t="inlineStr">
        <is>
          <t>QR-08, QR-09</t>
        </is>
      </c>
      <c r="G93" s="32" t="inlineStr">
        <is>
          <t>Submit enabled with errors</t>
        </is>
      </c>
      <c r="H93" s="32" t="inlineStr">
        <is>
          <t>Application with critical errors.</t>
        </is>
      </c>
      <c r="I93" s="32" t="inlineStr">
        <is>
          <t>1. Open /review for an application with critical errors; check Submit state.
2. Fix every error.
3. Re-check Submit state.</t>
        </is>
      </c>
      <c r="J93" s="32" t="inlineStr">
        <is>
          <t>Application from TC-VAL-01</t>
        </is>
      </c>
      <c r="K93" s="32" t="inlineStr">
        <is>
          <t>Disabled while errors exist; enabled when clean; summary refreshes after upstream change (not stale).
Also verify: the rejected value is not saved (reload or GET shows the previous/empty value).</t>
        </is>
      </c>
      <c r="L93" s="31" t="inlineStr">
        <is>
          <t>Critical</t>
        </is>
      </c>
      <c r="M93" s="31" t="inlineStr">
        <is>
          <t>P1</t>
        </is>
      </c>
      <c r="N93" s="31" t="n">
        <v>1</v>
      </c>
      <c r="O93" s="32" t="inlineStr">
        <is>
          <t>@smoke @regression documents</t>
        </is>
      </c>
      <c r="P93" s="32" t="inlineStr">
        <is>
          <t>Screenshots at each state</t>
        </is>
      </c>
      <c r="Q93" s="31" t="inlineStr">
        <is>
          <t>Automated</t>
        </is>
      </c>
      <c r="R93" s="32" t="inlineStr">
        <is>
          <t>tests/documents/validation-summary.spec.ts</t>
        </is>
      </c>
      <c r="S93" s="31" t="inlineStr">
        <is>
          <t>Not run</t>
        </is>
      </c>
      <c r="T93" s="32" t="n"/>
      <c r="U93" s="31" t="inlineStr">
        <is>
          <t>Y</t>
        </is>
      </c>
      <c r="V93" s="31" t="inlineStr">
        <is>
          <t>Negative</t>
        </is>
      </c>
      <c r="W93" s="32" t="inlineStr">
        <is>
          <t>-</t>
        </is>
      </c>
      <c r="X93" s="32" t="inlineStr">
        <is>
          <t>Creates its own application via fixture (independent; unique generated data).</t>
        </is>
      </c>
    </row>
    <row r="94" ht="46.25" customHeight="1" s="23">
      <c r="A94" s="31" t="inlineStr">
        <is>
          <t>TC-VAL-04</t>
        </is>
      </c>
      <c r="B94" s="32" t="inlineStr">
        <is>
          <t>Validation summary refreshes after upstream data changes (not stale)</t>
        </is>
      </c>
      <c r="C94" s="32" t="inlineStr">
        <is>
          <t>Documents &amp; Validation</t>
        </is>
      </c>
      <c r="D94" s="31" t="inlineStr">
        <is>
          <t>UI</t>
        </is>
      </c>
      <c r="E94" s="32" t="inlineStr">
        <is>
          <t>Risk QR-08: summary stale</t>
        </is>
      </c>
      <c r="F94" s="32" t="inlineStr">
        <is>
          <t>QR-08</t>
        </is>
      </c>
      <c r="G94" s="32" t="inlineStr">
        <is>
          <t>Validation summary stale</t>
        </is>
      </c>
      <c r="H94" s="32" t="inlineStr">
        <is>
          <t>Application previously clean at review (submit enabled).</t>
        </is>
      </c>
      <c r="I94" s="32" t="inlineStr">
        <is>
          <t>1. Open /review: summary clean.
2. Go back and invalidate data (e.g. delete a beneficiary so total &lt; 100%).
3. Return to /review.</t>
        </is>
      </c>
      <c r="J94" s="32" t="inlineStr">
        <is>
          <t>Clean application</t>
        </is>
      </c>
      <c r="K94" s="32" t="inlineStr">
        <is>
          <t>Summary now shows the new error and Submit is disabled; no stale 'clean' state.</t>
        </is>
      </c>
      <c r="L94" s="31" t="inlineStr">
        <is>
          <t>High</t>
        </is>
      </c>
      <c r="M94" s="31" t="inlineStr">
        <is>
          <t>P1</t>
        </is>
      </c>
      <c r="N94" s="31" t="n">
        <v>2</v>
      </c>
      <c r="O94" s="32" t="inlineStr">
        <is>
          <t>@regression documents</t>
        </is>
      </c>
      <c r="P94" s="32" t="inlineStr">
        <is>
          <t>Screenshots before and after</t>
        </is>
      </c>
      <c r="Q94" s="31" t="inlineStr">
        <is>
          <t>Automated</t>
        </is>
      </c>
      <c r="R94" s="32" t="inlineStr">
        <is>
          <t>tests/documents/validation-summary.spec.ts</t>
        </is>
      </c>
      <c r="S94" s="31" t="inlineStr">
        <is>
          <t>Not run</t>
        </is>
      </c>
      <c r="T94" s="32" t="n"/>
      <c r="U94" s="31" t="inlineStr">
        <is>
          <t>N</t>
        </is>
      </c>
      <c r="V94" s="31" t="inlineStr">
        <is>
          <t>Positive</t>
        </is>
      </c>
      <c r="W94" s="32" t="inlineStr">
        <is>
          <t>-</t>
        </is>
      </c>
      <c r="X94" s="32" t="inlineStr">
        <is>
          <t>Creates its own application via fixture (independent; unique generated data).</t>
        </is>
      </c>
    </row>
    <row r="95" ht="46.25" customHeight="1" s="23">
      <c r="A95" s="31" t="inlineStr">
        <is>
          <t>TC-VAL-05</t>
        </is>
      </c>
      <c r="B95" s="32" t="inlineStr">
        <is>
          <t>Review page shows data consistent with what was entered</t>
        </is>
      </c>
      <c r="C95" s="32" t="inlineStr">
        <is>
          <t>Documents &amp; Validation</t>
        </is>
      </c>
      <c r="D95" s="31" t="inlineStr">
        <is>
          <t>UI</t>
        </is>
      </c>
      <c r="E95" s="32" t="inlineStr">
        <is>
          <t>Guideline: review consistency</t>
        </is>
      </c>
      <c r="F95" s="32" t="inlineStr">
        <is>
          <t>QR-08, QR-10</t>
        </is>
      </c>
      <c r="G95" s="32" t="inlineStr">
        <is>
          <t>Review data differs from entered data</t>
        </is>
      </c>
      <c r="H95" s="32" t="inlineStr">
        <is>
          <t>Fully completed application.</t>
        </is>
      </c>
      <c r="I95" s="32" t="inlineStr">
        <is>
          <t>1. Record values entered per step (client, address, product, riders, beneficiaries).
2. Open /review.
3. Compare each section.</t>
        </is>
      </c>
      <c r="J95" s="32" t="inlineStr">
        <is>
          <t>Generated application</t>
        </is>
      </c>
      <c r="K95" s="32" t="inlineStr">
        <is>
          <t>Every section on review equals entered values (names, DOB/age, product, face value, premium, riders, beneficiaries, documents).</t>
        </is>
      </c>
      <c r="L95" s="31" t="inlineStr">
        <is>
          <t>High</t>
        </is>
      </c>
      <c r="M95" s="31" t="inlineStr">
        <is>
          <t>P1</t>
        </is>
      </c>
      <c r="N95" s="31" t="n">
        <v>2</v>
      </c>
      <c r="O95" s="32" t="inlineStr">
        <is>
          <t>@regression documents</t>
        </is>
      </c>
      <c r="P95" s="32" t="inlineStr">
        <is>
          <t>Screenshot of review + comparison log</t>
        </is>
      </c>
      <c r="Q95" s="31" t="inlineStr">
        <is>
          <t>Automated</t>
        </is>
      </c>
      <c r="R95" s="32" t="inlineStr">
        <is>
          <t>tests/documents/review.spec.ts</t>
        </is>
      </c>
      <c r="S95" s="31" t="inlineStr">
        <is>
          <t>Not run</t>
        </is>
      </c>
      <c r="T95" s="32" t="n"/>
      <c r="U95" s="31" t="inlineStr">
        <is>
          <t>N</t>
        </is>
      </c>
      <c r="V95" s="31" t="inlineStr">
        <is>
          <t>Positive</t>
        </is>
      </c>
      <c r="W95" s="32" t="inlineStr">
        <is>
          <t>-</t>
        </is>
      </c>
      <c r="X95" s="32" t="inlineStr">
        <is>
          <t>Creates its own application via fixture (independent; unique generated data).</t>
        </is>
      </c>
    </row>
    <row r="96" ht="35.05" customHeight="1" s="23">
      <c r="A96" s="31" t="inlineStr">
        <is>
          <t>TC-WF-01</t>
        </is>
      </c>
      <c r="B96" s="32" t="inlineStr">
        <is>
          <t>Incomplete application can be saved as draft</t>
        </is>
      </c>
      <c r="C96" s="32" t="inlineStr">
        <is>
          <t>Submission &amp; Status</t>
        </is>
      </c>
      <c r="D96" s="31" t="inlineStr">
        <is>
          <t>UI</t>
        </is>
      </c>
      <c r="E96" s="32" t="inlineStr">
        <is>
          <t>WF-V01</t>
        </is>
      </c>
      <c r="F96" s="32" t="inlineStr">
        <is>
          <t>QR-10</t>
        </is>
      </c>
      <c r="G96" s="32" t="inlineStr">
        <is>
          <t>Draft not persisted</t>
        </is>
      </c>
      <c r="H96" s="32" t="inlineStr">
        <is>
          <t>Logged in; new application started.</t>
        </is>
      </c>
      <c r="I96" s="32" t="inlineStr">
        <is>
          <t>1. Enter partial client data.
2. Click Save draft.
3. Go to dashboard.</t>
        </is>
      </c>
      <c r="J96" s="32" t="inlineStr">
        <is>
          <t>Partial client data</t>
        </is>
      </c>
      <c r="K96" s="32" t="inlineStr">
        <is>
          <t>Dashboard shows a Draft row for the application.</t>
        </is>
      </c>
      <c r="L96" s="31" t="inlineStr">
        <is>
          <t>High</t>
        </is>
      </c>
      <c r="M96" s="31" t="inlineStr">
        <is>
          <t>P1</t>
        </is>
      </c>
      <c r="N96" s="31" t="n">
        <v>2</v>
      </c>
      <c r="O96" s="32" t="inlineStr">
        <is>
          <t>@regression workflow</t>
        </is>
      </c>
      <c r="P96" s="32" t="inlineStr">
        <is>
          <t>Screenshot of dashboard row</t>
        </is>
      </c>
      <c r="Q96" s="31" t="inlineStr">
        <is>
          <t>Automated</t>
        </is>
      </c>
      <c r="R96" s="32" t="inlineStr">
        <is>
          <t>tests/workflow/draft.spec.ts</t>
        </is>
      </c>
      <c r="S96" s="31" t="inlineStr">
        <is>
          <t>Not run</t>
        </is>
      </c>
      <c r="T96" s="32" t="n"/>
      <c r="U96" s="31" t="inlineStr">
        <is>
          <t>N</t>
        </is>
      </c>
      <c r="V96" s="31" t="inlineStr">
        <is>
          <t>Positive</t>
        </is>
      </c>
      <c r="W96" s="32" t="inlineStr">
        <is>
          <t>DB (if approved): status = Draft</t>
        </is>
      </c>
      <c r="X96" s="32" t="inlineStr">
        <is>
          <t>Creates its own application via fixture (independent; unique generated data).</t>
        </is>
      </c>
    </row>
    <row r="97" ht="23.85" customHeight="1" s="23">
      <c r="A97" s="31" t="inlineStr">
        <is>
          <t>TC-WF-02</t>
        </is>
      </c>
      <c r="B97" s="32" t="inlineStr">
        <is>
          <t>Draft resumes with saved data at correct step</t>
        </is>
      </c>
      <c r="C97" s="32" t="inlineStr">
        <is>
          <t>Submission &amp; Status</t>
        </is>
      </c>
      <c r="D97" s="31" t="inlineStr">
        <is>
          <t>UI</t>
        </is>
      </c>
      <c r="E97" s="32" t="inlineStr">
        <is>
          <t>WF-V02</t>
        </is>
      </c>
      <c r="F97" s="32" t="inlineStr">
        <is>
          <t>QR-10</t>
        </is>
      </c>
      <c r="G97" s="32" t="inlineStr">
        <is>
          <t>Draft data lost</t>
        </is>
      </c>
      <c r="H97" s="32" t="inlineStr">
        <is>
          <t>Draft from TC-WF-01.</t>
        </is>
      </c>
      <c r="I97" s="32" t="inlineStr">
        <is>
          <t>1. Open draft from dashboard.
2. Inspect values.</t>
        </is>
      </c>
      <c r="J97" s="32" t="inlineStr">
        <is>
          <t>Draft created in setup</t>
        </is>
      </c>
      <c r="K97" s="32" t="inlineStr">
        <is>
          <t>Saved values and step restored.</t>
        </is>
      </c>
      <c r="L97" s="31" t="inlineStr">
        <is>
          <t>High</t>
        </is>
      </c>
      <c r="M97" s="31" t="inlineStr">
        <is>
          <t>P1</t>
        </is>
      </c>
      <c r="N97" s="31" t="n">
        <v>2</v>
      </c>
      <c r="O97" s="32" t="inlineStr">
        <is>
          <t>@regression workflow</t>
        </is>
      </c>
      <c r="P97" s="32" t="inlineStr">
        <is>
          <t>Screenshot</t>
        </is>
      </c>
      <c r="Q97" s="31" t="inlineStr">
        <is>
          <t>Automated</t>
        </is>
      </c>
      <c r="R97" s="32" t="inlineStr">
        <is>
          <t>tests/workflow/draft.spec.ts</t>
        </is>
      </c>
      <c r="S97" s="31" t="inlineStr">
        <is>
          <t>Not run</t>
        </is>
      </c>
      <c r="T97" s="32" t="n"/>
      <c r="U97" s="31" t="inlineStr">
        <is>
          <t>N</t>
        </is>
      </c>
      <c r="V97" s="31" t="inlineStr">
        <is>
          <t>Positive</t>
        </is>
      </c>
      <c r="W97" s="32" t="inlineStr">
        <is>
          <t>-</t>
        </is>
      </c>
      <c r="X97" s="32" t="inlineStr">
        <is>
          <t>Creates its own application via fixture (independent; unique generated data).</t>
        </is>
      </c>
    </row>
    <row r="98" ht="79.84999999999999" customHeight="1" s="23">
      <c r="A98" s="31" t="inlineStr">
        <is>
          <t>TC-WF-03</t>
        </is>
      </c>
      <c r="B98" s="32" t="inlineStr">
        <is>
          <t>Valid application is submitted end to end and gets a reference number</t>
        </is>
      </c>
      <c r="C98" s="32" t="inlineStr">
        <is>
          <t>Submission &amp; Status</t>
        </is>
      </c>
      <c r="D98" s="31" t="inlineStr">
        <is>
          <t>E2E</t>
        </is>
      </c>
      <c r="E98" s="32" t="inlineStr">
        <is>
          <t>WF-V03</t>
        </is>
      </c>
      <c r="F98" s="32" t="inlineStr">
        <is>
          <t>QR-09</t>
        </is>
      </c>
      <c r="G98" s="32" t="inlineStr">
        <is>
          <t>Incomplete/no reference on submit</t>
        </is>
      </c>
      <c r="H98" s="32" t="inlineStr">
        <is>
          <t>Valid agent; all test files and data available.</t>
        </is>
      </c>
      <c r="I98" s="32" t="inlineStr">
        <is>
          <t>1. Login.
2. Start new application.
3. Complete Client, Address, KYC, Product, Riders, Beneficiaries, Documents.
4. Review summary clean.
5. Submit.
6. Read confirmation.</t>
        </is>
      </c>
      <c r="J98" s="32" t="inlineStr">
        <is>
          <t>Generated valid application</t>
        </is>
      </c>
      <c r="K98" s="32" t="inlineStr">
        <is>
          <t>Confirmation shows non-empty reference number; no validation errors.</t>
        </is>
      </c>
      <c r="L98" s="31" t="inlineStr">
        <is>
          <t>Critical</t>
        </is>
      </c>
      <c r="M98" s="31" t="inlineStr">
        <is>
          <t>P1</t>
        </is>
      </c>
      <c r="N98" s="31" t="n">
        <v>1</v>
      </c>
      <c r="O98" s="32" t="inlineStr">
        <is>
          <t>@smoke @e2e workflow</t>
        </is>
      </c>
      <c r="P98" s="32" t="inlineStr">
        <is>
          <t>Trace of full flow; confirmation screenshot</t>
        </is>
      </c>
      <c r="Q98" s="31" t="inlineStr">
        <is>
          <t>Automated</t>
        </is>
      </c>
      <c r="R98" s="32" t="inlineStr">
        <is>
          <t>tests/workflow/e2e-submission.spec.ts</t>
        </is>
      </c>
      <c r="S98" s="31" t="inlineStr">
        <is>
          <t>Not run</t>
        </is>
      </c>
      <c r="T98" s="32" t="n"/>
      <c r="U98" s="31" t="inlineStr">
        <is>
          <t>Y</t>
        </is>
      </c>
      <c r="V98" s="31" t="inlineStr">
        <is>
          <t>Positive</t>
        </is>
      </c>
      <c r="W98" s="32" t="inlineStr">
        <is>
          <t>API: status = Submitted; DB: reference unique</t>
        </is>
      </c>
      <c r="X98" s="32" t="inlineStr">
        <is>
          <t>Creates its own application; submission cannot be undone - unique generated data.</t>
        </is>
      </c>
    </row>
    <row r="99" ht="23.85" customHeight="1" s="23">
      <c r="A99" s="31" t="inlineStr">
        <is>
          <t>TC-WF-04</t>
        </is>
      </c>
      <c r="B99" s="32" t="inlineStr">
        <is>
          <t>Submitted application is read-only</t>
        </is>
      </c>
      <c r="C99" s="32" t="inlineStr">
        <is>
          <t>Submission &amp; Status</t>
        </is>
      </c>
      <c r="D99" s="31" t="inlineStr">
        <is>
          <t>UI</t>
        </is>
      </c>
      <c r="E99" s="32" t="inlineStr">
        <is>
          <t>WF-V04</t>
        </is>
      </c>
      <c r="F99" s="32" t="inlineStr">
        <is>
          <t>QR-09</t>
        </is>
      </c>
      <c r="G99" s="32" t="inlineStr">
        <is>
          <t>Submitted app editable</t>
        </is>
      </c>
      <c r="H99" s="32" t="inlineStr">
        <is>
          <t>Submitted application exists.</t>
        </is>
      </c>
      <c r="I99" s="32" t="inlineStr">
        <is>
          <t>1. Open submitted application.
2. Try editing fields and saving.</t>
        </is>
      </c>
      <c r="J99" s="32" t="inlineStr">
        <is>
          <t>Submitted application id</t>
        </is>
      </c>
      <c r="K99" s="32" t="inlineStr">
        <is>
          <t>Fields disabled/read-only; edit controls absent.</t>
        </is>
      </c>
      <c r="L99" s="31" t="inlineStr">
        <is>
          <t>High</t>
        </is>
      </c>
      <c r="M99" s="31" t="inlineStr">
        <is>
          <t>P1</t>
        </is>
      </c>
      <c r="N99" s="31" t="n">
        <v>2</v>
      </c>
      <c r="O99" s="32" t="inlineStr">
        <is>
          <t>@regression workflow</t>
        </is>
      </c>
      <c r="P99" s="32" t="inlineStr">
        <is>
          <t>Screenshot</t>
        </is>
      </c>
      <c r="Q99" s="31" t="inlineStr">
        <is>
          <t>Automated</t>
        </is>
      </c>
      <c r="R99" s="32" t="inlineStr">
        <is>
          <t>tests/workflow/submission.spec.ts</t>
        </is>
      </c>
      <c r="S99" s="31" t="inlineStr">
        <is>
          <t>Not run</t>
        </is>
      </c>
      <c r="T99" s="32" t="n"/>
      <c r="U99" s="31" t="inlineStr">
        <is>
          <t>N</t>
        </is>
      </c>
      <c r="V99" s="31" t="inlineStr">
        <is>
          <t>Positive</t>
        </is>
      </c>
      <c r="W99" s="32" t="inlineStr">
        <is>
          <t>API: POST update rejected for submitted application</t>
        </is>
      </c>
      <c r="X99" s="32" t="inlineStr">
        <is>
          <t>Read-only seeded submitted application.</t>
        </is>
      </c>
    </row>
    <row r="100" ht="23.85" customHeight="1" s="23">
      <c r="A100" s="31" t="inlineStr">
        <is>
          <t>TC-WF-05</t>
        </is>
      </c>
      <c r="B100" s="32" t="inlineStr">
        <is>
          <t>Confirmation/status message shown after submission</t>
        </is>
      </c>
      <c r="C100" s="32" t="inlineStr">
        <is>
          <t>Submission &amp; Status</t>
        </is>
      </c>
      <c r="D100" s="31" t="inlineStr">
        <is>
          <t>UI</t>
        </is>
      </c>
      <c r="E100" s="32" t="inlineStr">
        <is>
          <t>WF-V05</t>
        </is>
      </c>
      <c r="F100" s="32" t="inlineStr">
        <is>
          <t>QR-09</t>
        </is>
      </c>
      <c r="G100" s="32" t="inlineStr">
        <is>
          <t>Missing confirmation</t>
        </is>
      </c>
      <c r="H100" s="32" t="inlineStr">
        <is>
          <t>Run in E2E flow.</t>
        </is>
      </c>
      <c r="I100" s="32" t="inlineStr">
        <is>
          <t>1. Submit valid application.
2. Read confirmation page.</t>
        </is>
      </c>
      <c r="J100" s="32" t="inlineStr">
        <is>
          <t>-</t>
        </is>
      </c>
      <c r="K100" s="32" t="inlineStr">
        <is>
          <t>Confirmation message (email simulation/status) displayed.</t>
        </is>
      </c>
      <c r="L100" s="31" t="inlineStr">
        <is>
          <t>Medium</t>
        </is>
      </c>
      <c r="M100" s="31" t="inlineStr">
        <is>
          <t>P2</t>
        </is>
      </c>
      <c r="N100" s="31" t="n">
        <v>2</v>
      </c>
      <c r="O100" s="32" t="inlineStr">
        <is>
          <t>@regression workflow</t>
        </is>
      </c>
      <c r="P100" s="32" t="inlineStr">
        <is>
          <t>Screenshot</t>
        </is>
      </c>
      <c r="Q100" s="31" t="inlineStr">
        <is>
          <t>Automated</t>
        </is>
      </c>
      <c r="R100" s="32" t="inlineStr">
        <is>
          <t>tests/workflow/submission.spec.ts</t>
        </is>
      </c>
      <c r="S100" s="31" t="inlineStr">
        <is>
          <t>Not run</t>
        </is>
      </c>
      <c r="T100" s="32" t="n"/>
      <c r="U100" s="31" t="inlineStr">
        <is>
          <t>N</t>
        </is>
      </c>
      <c r="V100" s="31" t="inlineStr">
        <is>
          <t>Positive</t>
        </is>
      </c>
      <c r="W100" s="32" t="inlineStr">
        <is>
          <t>-</t>
        </is>
      </c>
      <c r="X100" s="32" t="inlineStr">
        <is>
          <t>Creates its own application via fixture (independent; unique generated data).</t>
        </is>
      </c>
    </row>
    <row r="101" ht="23.85" customHeight="1" s="23">
      <c r="A101" s="31" t="inlineStr">
        <is>
          <t>TC-WF-06</t>
        </is>
      </c>
      <c r="B101" s="32" t="inlineStr">
        <is>
          <t>Dashboard status updates to Submitted after submission</t>
        </is>
      </c>
      <c r="C101" s="32" t="inlineStr">
        <is>
          <t>Submission &amp; Status</t>
        </is>
      </c>
      <c r="D101" s="31" t="inlineStr">
        <is>
          <t>UI</t>
        </is>
      </c>
      <c r="E101" s="32" t="inlineStr">
        <is>
          <t>WF-V06</t>
        </is>
      </c>
      <c r="F101" s="32" t="inlineStr">
        <is>
          <t>QR-02, QR-09</t>
        </is>
      </c>
      <c r="G101" s="32" t="inlineStr">
        <is>
          <t>Wrong status on dashboard</t>
        </is>
      </c>
      <c r="H101" s="32" t="inlineStr">
        <is>
          <t>Application just submitted.</t>
        </is>
      </c>
      <c r="I101" s="32" t="inlineStr">
        <is>
          <t>1. Go to dashboard.
2. Find the application.</t>
        </is>
      </c>
      <c r="J101" s="32" t="inlineStr">
        <is>
          <t>Submitted application</t>
        </is>
      </c>
      <c r="K101" s="32" t="inlineStr">
        <is>
          <t>Status shows Submitted.</t>
        </is>
      </c>
      <c r="L101" s="31" t="inlineStr">
        <is>
          <t>High</t>
        </is>
      </c>
      <c r="M101" s="31" t="inlineStr">
        <is>
          <t>P1</t>
        </is>
      </c>
      <c r="N101" s="31" t="n">
        <v>2</v>
      </c>
      <c r="O101" s="32" t="inlineStr">
        <is>
          <t>@regression workflow</t>
        </is>
      </c>
      <c r="P101" s="32" t="inlineStr">
        <is>
          <t>Screenshot</t>
        </is>
      </c>
      <c r="Q101" s="31" t="inlineStr">
        <is>
          <t>Automated</t>
        </is>
      </c>
      <c r="R101" s="32" t="inlineStr">
        <is>
          <t>tests/workflow/submission.spec.ts</t>
        </is>
      </c>
      <c r="S101" s="31" t="inlineStr">
        <is>
          <t>Not run</t>
        </is>
      </c>
      <c r="T101" s="32" t="n"/>
      <c r="U101" s="31" t="inlineStr">
        <is>
          <t>N</t>
        </is>
      </c>
      <c r="V101" s="31" t="inlineStr">
        <is>
          <t>Positive</t>
        </is>
      </c>
      <c r="W101" s="32" t="inlineStr">
        <is>
          <t>API: GET status</t>
        </is>
      </c>
      <c r="X101" s="32" t="inlineStr">
        <is>
          <t>Creates its own application via fixture (independent; unique generated data).</t>
        </is>
      </c>
    </row>
    <row r="102" ht="35.05" customHeight="1" s="23">
      <c r="A102" s="31" t="inlineStr">
        <is>
          <t>TC-WF-07</t>
        </is>
      </c>
      <c r="B102" s="32" t="inlineStr">
        <is>
          <t>Application detail status matches status API</t>
        </is>
      </c>
      <c r="C102" s="32" t="inlineStr">
        <is>
          <t>Submission &amp; Status</t>
        </is>
      </c>
      <c r="D102" s="31" t="inlineStr">
        <is>
          <t>UI</t>
        </is>
      </c>
      <c r="E102" s="32" t="inlineStr">
        <is>
          <t>WF-V07</t>
        </is>
      </c>
      <c r="F102" s="32" t="inlineStr">
        <is>
          <t>QR-09</t>
        </is>
      </c>
      <c r="G102" s="32" t="inlineStr">
        <is>
          <t>Status differs from backend</t>
        </is>
      </c>
      <c r="H102" s="32" t="inlineStr">
        <is>
          <t>Submitted application.</t>
        </is>
      </c>
      <c r="I102" s="32" t="inlineStr">
        <is>
          <t>1. Open /applications/:id/status.
2. Call GET /api/applications/{id}/status.
3. Compare.</t>
        </is>
      </c>
      <c r="J102" s="32" t="inlineStr">
        <is>
          <t>Submitted application</t>
        </is>
      </c>
      <c r="K102" s="32" t="inlineStr">
        <is>
          <t>UI status equals API status.</t>
        </is>
      </c>
      <c r="L102" s="31" t="inlineStr">
        <is>
          <t>High</t>
        </is>
      </c>
      <c r="M102" s="31" t="inlineStr">
        <is>
          <t>P2</t>
        </is>
      </c>
      <c r="N102" s="31" t="n">
        <v>2</v>
      </c>
      <c r="O102" s="32" t="inlineStr">
        <is>
          <t>@regression workflow @api</t>
        </is>
      </c>
      <c r="P102" s="32" t="inlineStr">
        <is>
          <t>UI vs API values in log</t>
        </is>
      </c>
      <c r="Q102" s="31" t="inlineStr">
        <is>
          <t>Automated</t>
        </is>
      </c>
      <c r="R102" s="32" t="inlineStr">
        <is>
          <t>tests/workflow/status.spec.ts</t>
        </is>
      </c>
      <c r="S102" s="31" t="inlineStr">
        <is>
          <t>Not run</t>
        </is>
      </c>
      <c r="T102" s="32" t="n"/>
      <c r="U102" s="31" t="inlineStr">
        <is>
          <t>N</t>
        </is>
      </c>
      <c r="V102" s="31" t="inlineStr">
        <is>
          <t>Positive</t>
        </is>
      </c>
      <c r="W102" s="32" t="inlineStr">
        <is>
          <t>-</t>
        </is>
      </c>
      <c r="X102" s="32" t="inlineStr">
        <is>
          <t>Creates its own application via fixture (independent; unique generated data).</t>
        </is>
      </c>
    </row>
    <row r="103" ht="23.85" customHeight="1" s="23">
      <c r="A103" s="31" t="inlineStr">
        <is>
          <t>TC-WF-08</t>
        </is>
      </c>
      <c r="B103" s="32" t="inlineStr">
        <is>
          <t>Reference numbers are unique across submissions</t>
        </is>
      </c>
      <c r="C103" s="32" t="inlineStr">
        <is>
          <t>Submission &amp; Status</t>
        </is>
      </c>
      <c r="D103" s="31" t="inlineStr">
        <is>
          <t>E2E</t>
        </is>
      </c>
      <c r="E103" s="32" t="inlineStr">
        <is>
          <t>Risk QR-09</t>
        </is>
      </c>
      <c r="F103" s="32" t="inlineStr">
        <is>
          <t>QR-09</t>
        </is>
      </c>
      <c r="G103" s="32" t="inlineStr">
        <is>
          <t>No or duplicate reference number</t>
        </is>
      </c>
      <c r="H103" s="32" t="inlineStr">
        <is>
          <t>Two valid applications ready to submit.</t>
        </is>
      </c>
      <c r="I103" s="32" t="inlineStr">
        <is>
          <t>1. Submit application A; note reference.
2. Submit application B; note reference.</t>
        </is>
      </c>
      <c r="J103" s="32" t="inlineStr">
        <is>
          <t>Two generated applications</t>
        </is>
      </c>
      <c r="K103" s="32" t="inlineStr">
        <is>
          <t>References are non-empty and different.</t>
        </is>
      </c>
      <c r="L103" s="31" t="inlineStr">
        <is>
          <t>High</t>
        </is>
      </c>
      <c r="M103" s="31" t="inlineStr">
        <is>
          <t>P2</t>
        </is>
      </c>
      <c r="N103" s="31" t="n">
        <v>3</v>
      </c>
      <c r="O103" s="32" t="inlineStr">
        <is>
          <t>@regression @e2e workflow</t>
        </is>
      </c>
      <c r="P103" s="32" t="inlineStr">
        <is>
          <t>Both references in log</t>
        </is>
      </c>
      <c r="Q103" s="31" t="inlineStr">
        <is>
          <t>Automated</t>
        </is>
      </c>
      <c r="R103" s="32" t="inlineStr">
        <is>
          <t>tests/workflow/e2e-submission.spec.ts</t>
        </is>
      </c>
      <c r="S103" s="31" t="inlineStr">
        <is>
          <t>Not run</t>
        </is>
      </c>
      <c r="T103" s="32" t="n"/>
      <c r="U103" s="31" t="inlineStr">
        <is>
          <t>N</t>
        </is>
      </c>
      <c r="V103" s="31" t="inlineStr">
        <is>
          <t>Positive</t>
        </is>
      </c>
      <c r="W103" s="32" t="inlineStr">
        <is>
          <t>-</t>
        </is>
      </c>
      <c r="X103" s="32" t="inlineStr">
        <is>
          <t>Creates two applications; unique data.</t>
        </is>
      </c>
    </row>
    <row r="104" ht="23.85" customHeight="1" s="23">
      <c r="A104" s="31" t="inlineStr">
        <is>
          <t>TC-WF-09</t>
        </is>
      </c>
      <c r="B104" s="32" t="inlineStr">
        <is>
          <t>Status history records Draft to Submitted with timestamps</t>
        </is>
      </c>
      <c r="C104" s="32" t="inlineStr">
        <is>
          <t>Submission &amp; Status</t>
        </is>
      </c>
      <c r="D104" s="31" t="inlineStr">
        <is>
          <t>UI</t>
        </is>
      </c>
      <c r="E104" s="32" t="inlineStr">
        <is>
          <t>Risk QR-09</t>
        </is>
      </c>
      <c r="F104" s="32" t="inlineStr">
        <is>
          <t>QR-09, QR-10</t>
        </is>
      </c>
      <c r="G104" s="32" t="inlineStr">
        <is>
          <t>Status history gaps</t>
        </is>
      </c>
      <c r="H104" s="32" t="inlineStr">
        <is>
          <t>Submitted application.</t>
        </is>
      </c>
      <c r="I104" s="32" t="inlineStr">
        <is>
          <t>1. Open /applications/:id/status.
2. Read history entries.</t>
        </is>
      </c>
      <c r="J104" s="32" t="inlineStr">
        <is>
          <t>Submitted application</t>
        </is>
      </c>
      <c r="K104" s="32" t="inlineStr">
        <is>
          <t>History contains Draft and Submitted entries in order with timestamps.</t>
        </is>
      </c>
      <c r="L104" s="31" t="inlineStr">
        <is>
          <t>Medium</t>
        </is>
      </c>
      <c r="M104" s="31" t="inlineStr">
        <is>
          <t>P3</t>
        </is>
      </c>
      <c r="N104" s="31" t="n">
        <v>3</v>
      </c>
      <c r="O104" s="32" t="inlineStr">
        <is>
          <t>@regression workflow</t>
        </is>
      </c>
      <c r="P104" s="32" t="inlineStr">
        <is>
          <t>Screenshot of history</t>
        </is>
      </c>
      <c r="Q104" s="31" t="inlineStr">
        <is>
          <t>Automated</t>
        </is>
      </c>
      <c r="R104" s="32" t="inlineStr">
        <is>
          <t>tests/workflow/status.spec.ts</t>
        </is>
      </c>
      <c r="S104" s="31" t="inlineStr">
        <is>
          <t>Not run</t>
        </is>
      </c>
      <c r="T104" s="32" t="n"/>
      <c r="U104" s="31" t="inlineStr">
        <is>
          <t>N</t>
        </is>
      </c>
      <c r="V104" s="31" t="inlineStr">
        <is>
          <t>Positive</t>
        </is>
      </c>
      <c r="W104" s="32" t="inlineStr">
        <is>
          <t>-</t>
        </is>
      </c>
      <c r="X104" s="32" t="inlineStr">
        <is>
          <t>Creates its own application via fixture (independent; unique generated data).</t>
        </is>
      </c>
    </row>
    <row r="105" ht="57.45" customHeight="1" s="23">
      <c r="A105" s="31" t="inlineStr">
        <is>
          <t>TC-WF-10</t>
        </is>
      </c>
      <c r="B105" s="32" t="inlineStr">
        <is>
          <t>Smoke path: login, create application, complete main screens, reach review</t>
        </is>
      </c>
      <c r="C105" s="32" t="inlineStr">
        <is>
          <t>Submission &amp; Status</t>
        </is>
      </c>
      <c r="D105" s="31" t="inlineStr">
        <is>
          <t>E2E</t>
        </is>
      </c>
      <c r="E105" s="32" t="inlineStr">
        <is>
          <t>Guideline build sequence step 5</t>
        </is>
      </c>
      <c r="F105" s="32" t="inlineStr">
        <is>
          <t>QR-09, QR-10</t>
        </is>
      </c>
      <c r="G105" s="32" t="inlineStr">
        <is>
          <t>Main flow broken before review</t>
        </is>
      </c>
      <c r="H105" s="32" t="inlineStr">
        <is>
          <t>Valid agent; test files available.</t>
        </is>
      </c>
      <c r="I105" s="32" t="inlineStr">
        <is>
          <t>1. Login.
2. Start new application.
3. Complete Client, Address, KYC, Product, Riders, Beneficiaries, Documents.
4. Open /review.</t>
        </is>
      </c>
      <c r="J105" s="32" t="inlineStr">
        <is>
          <t>Generated valid application</t>
        </is>
      </c>
      <c r="K105" s="32" t="inlineStr">
        <is>
          <t>Every step advances; review page opens with an empty summary and Submit enabled (no submission performed).</t>
        </is>
      </c>
      <c r="L105" s="31" t="inlineStr">
        <is>
          <t>Critical</t>
        </is>
      </c>
      <c r="M105" s="31" t="inlineStr">
        <is>
          <t>P1</t>
        </is>
      </c>
      <c r="N105" s="31" t="n">
        <v>1</v>
      </c>
      <c r="O105" s="32" t="inlineStr">
        <is>
          <t>@smoke @e2e workflow</t>
        </is>
      </c>
      <c r="P105" s="32" t="inlineStr">
        <is>
          <t>Trace of complete path; screenshot of review</t>
        </is>
      </c>
      <c r="Q105" s="31" t="inlineStr">
        <is>
          <t>Automated</t>
        </is>
      </c>
      <c r="R105" s="32" t="inlineStr">
        <is>
          <t>tests/workflow/smoke-to-review.spec.ts</t>
        </is>
      </c>
      <c r="S105" s="31" t="inlineStr">
        <is>
          <t>Not run</t>
        </is>
      </c>
      <c r="T105" s="32" t="n"/>
      <c r="U105" s="31" t="inlineStr">
        <is>
          <t>Y</t>
        </is>
      </c>
      <c r="V105" s="31" t="inlineStr">
        <is>
          <t>Positive</t>
        </is>
      </c>
      <c r="W105" s="32" t="inlineStr">
        <is>
          <t>-</t>
        </is>
      </c>
      <c r="X105" s="32" t="inlineStr">
        <is>
          <t>Creates its own application via fixture (independent; unique generated data).</t>
        </is>
      </c>
    </row>
    <row r="106" ht="46.25" customHeight="1" s="23">
      <c r="A106" s="31" t="inlineStr">
        <is>
          <t>TC-WF-11</t>
        </is>
      </c>
      <c r="B106" s="32" t="inlineStr">
        <is>
          <t>Re-submitting a submitted application does not create a second reference or change status</t>
        </is>
      </c>
      <c r="C106" s="32" t="inlineStr">
        <is>
          <t>Submission &amp; Status</t>
        </is>
      </c>
      <c r="D106" s="31" t="inlineStr">
        <is>
          <t>E2E</t>
        </is>
      </c>
      <c r="E106" s="32" t="inlineStr">
        <is>
          <t>Risk QR-09: duplicate reference</t>
        </is>
      </c>
      <c r="F106" s="32" t="inlineStr">
        <is>
          <t>QR-09</t>
        </is>
      </c>
      <c r="G106" s="32" t="inlineStr">
        <is>
          <t>Duplicate reference / double submit</t>
        </is>
      </c>
      <c r="H106" s="32" t="inlineStr">
        <is>
          <t>Submitted application; double-click possible on submit button.</t>
        </is>
      </c>
      <c r="I106" s="32" t="inlineStr">
        <is>
          <t>1. Submit a valid application with a rapid double click.
2. Note reference.
3. POST /api/applications/{id}/submit again.
4. Read status and reference.</t>
        </is>
      </c>
      <c r="J106" s="32" t="inlineStr">
        <is>
          <t>Valid application</t>
        </is>
      </c>
      <c r="K106" s="32" t="inlineStr">
        <is>
          <t>Only one reference exists; second submit is rejected or idempotent; status remains Submitted; history shows one Submitted entry.</t>
        </is>
      </c>
      <c r="L106" s="31" t="inlineStr">
        <is>
          <t>High</t>
        </is>
      </c>
      <c r="M106" s="31" t="inlineStr">
        <is>
          <t>P2</t>
        </is>
      </c>
      <c r="N106" s="31" t="n">
        <v>3</v>
      </c>
      <c r="O106" s="32" t="inlineStr">
        <is>
          <t>@regression @e2e workflow</t>
        </is>
      </c>
      <c r="P106" s="32" t="inlineStr">
        <is>
          <t>API response + status history</t>
        </is>
      </c>
      <c r="Q106" s="31" t="inlineStr">
        <is>
          <t>Automated</t>
        </is>
      </c>
      <c r="R106" s="32" t="inlineStr">
        <is>
          <t>tests/workflow/submission.spec.ts</t>
        </is>
      </c>
      <c r="S106" s="31" t="inlineStr">
        <is>
          <t>Not run</t>
        </is>
      </c>
      <c r="T106" s="32" t="n"/>
      <c r="U106" s="31" t="inlineStr">
        <is>
          <t>N</t>
        </is>
      </c>
      <c r="V106" s="31" t="inlineStr">
        <is>
          <t>Negative</t>
        </is>
      </c>
      <c r="W106" s="32" t="inlineStr">
        <is>
          <t>-</t>
        </is>
      </c>
      <c r="X106" s="32" t="inlineStr">
        <is>
          <t>Creates its own application; unique data.</t>
        </is>
      </c>
    </row>
    <row r="107" ht="23.85" customHeight="1" s="23">
      <c r="A107" s="31" t="inlineStr">
        <is>
          <t>TC-WF-12</t>
        </is>
      </c>
      <c r="B107" s="32" t="inlineStr">
        <is>
          <t>Confirmation page is not reachable for an unsubmitted application</t>
        </is>
      </c>
      <c r="C107" s="32" t="inlineStr">
        <is>
          <t>Submission &amp; Status</t>
        </is>
      </c>
      <c r="D107" s="31" t="inlineStr">
        <is>
          <t>UI</t>
        </is>
      </c>
      <c r="E107" s="32" t="inlineStr">
        <is>
          <t>Route /confirmation state check</t>
        </is>
      </c>
      <c r="F107" s="32" t="inlineStr">
        <is>
          <t>QR-09</t>
        </is>
      </c>
      <c r="G107" s="32" t="inlineStr">
        <is>
          <t>Confirmation shown without submission</t>
        </is>
      </c>
      <c r="H107" s="32" t="inlineStr">
        <is>
          <t>Draft application.</t>
        </is>
      </c>
      <c r="I107" s="32" t="inlineStr">
        <is>
          <t>1. Open /applications/&lt;draftId&gt;/confirmation directly.</t>
        </is>
      </c>
      <c r="J107" s="32" t="inlineStr">
        <is>
          <t>Draft id</t>
        </is>
      </c>
      <c r="K107" s="32" t="inlineStr">
        <is>
          <t>No reference/success message shown; user is redirected to the current step or review.</t>
        </is>
      </c>
      <c r="L107" s="31" t="inlineStr">
        <is>
          <t>Medium</t>
        </is>
      </c>
      <c r="M107" s="31" t="inlineStr">
        <is>
          <t>P2</t>
        </is>
      </c>
      <c r="N107" s="31" t="n">
        <v>3</v>
      </c>
      <c r="O107" s="32" t="inlineStr">
        <is>
          <t>@regression workflow</t>
        </is>
      </c>
      <c r="P107" s="32" t="inlineStr">
        <is>
          <t>Screenshot</t>
        </is>
      </c>
      <c r="Q107" s="31" t="inlineStr">
        <is>
          <t>Automated</t>
        </is>
      </c>
      <c r="R107" s="32" t="inlineStr">
        <is>
          <t>tests/workflow/submission.spec.ts</t>
        </is>
      </c>
      <c r="S107" s="31" t="inlineStr">
        <is>
          <t>Not run</t>
        </is>
      </c>
      <c r="T107" s="32" t="n"/>
      <c r="U107" s="31" t="inlineStr">
        <is>
          <t>N</t>
        </is>
      </c>
      <c r="V107" s="31" t="inlineStr">
        <is>
          <t>Negative</t>
        </is>
      </c>
      <c r="W107" s="32" t="inlineStr">
        <is>
          <t>-</t>
        </is>
      </c>
      <c r="X107" s="32" t="inlineStr">
        <is>
          <t>Creates its own application via fixture (independent; unique generated data).</t>
        </is>
      </c>
    </row>
    <row r="108" ht="46.25" customHeight="1" s="23">
      <c r="A108" s="31" t="inlineStr">
        <is>
          <t>TC-WF-13</t>
        </is>
      </c>
      <c r="B108" s="32" t="inlineStr">
        <is>
          <t>Submitted data matches entered data (persistence UI/API/DB)</t>
        </is>
      </c>
      <c r="C108" s="32" t="inlineStr">
        <is>
          <t>Submission &amp; Status</t>
        </is>
      </c>
      <c r="D108" s="31" t="inlineStr">
        <is>
          <t>E2E</t>
        </is>
      </c>
      <c r="E108" s="32" t="inlineStr">
        <is>
          <t>Risk QR-10</t>
        </is>
      </c>
      <c r="F108" s="32" t="inlineStr">
        <is>
          <t>QR-10, QR-09</t>
        </is>
      </c>
      <c r="G108" s="32" t="inlineStr">
        <is>
          <t>Data not persisted accurately</t>
        </is>
      </c>
      <c r="H108" s="32" t="inlineStr">
        <is>
          <t>Application submitted in E2E; API access (DB read-only if approved).</t>
        </is>
      </c>
      <c r="I108" s="32" t="inlineStr">
        <is>
          <t>1. Record entered data.
2. Submit.
3. Open submitted application read-only view.
4. GET application detail via API (and DB query if allowed).</t>
        </is>
      </c>
      <c r="J108" s="32" t="inlineStr">
        <is>
          <t>Generated application</t>
        </is>
      </c>
      <c r="K108" s="32" t="inlineStr">
        <is>
          <t>Read-only view and API/DB values equal the entered values; sensitive fields remain masked.</t>
        </is>
      </c>
      <c r="L108" s="31" t="inlineStr">
        <is>
          <t>High</t>
        </is>
      </c>
      <c r="M108" s="31" t="inlineStr">
        <is>
          <t>P2</t>
        </is>
      </c>
      <c r="N108" s="31" t="n">
        <v>3</v>
      </c>
      <c r="O108" s="32" t="inlineStr">
        <is>
          <t>@regression @e2e workflow</t>
        </is>
      </c>
      <c r="P108" s="32" t="inlineStr">
        <is>
          <t>Comparison log; query output (redacted)</t>
        </is>
      </c>
      <c r="Q108" s="31" t="inlineStr">
        <is>
          <t>Automated</t>
        </is>
      </c>
      <c r="R108" s="32" t="inlineStr">
        <is>
          <t>tests/workflow/persistence.spec.ts</t>
        </is>
      </c>
      <c r="S108" s="31" t="inlineStr">
        <is>
          <t>Not run</t>
        </is>
      </c>
      <c r="T108" s="32" t="n"/>
      <c r="U108" s="31" t="inlineStr">
        <is>
          <t>N</t>
        </is>
      </c>
      <c r="V108" s="31" t="inlineStr">
        <is>
          <t>Positive</t>
        </is>
      </c>
      <c r="W108" s="32" t="inlineStr">
        <is>
          <t>API/DB: stored values equal entered values</t>
        </is>
      </c>
      <c r="X108" s="32" t="inlineStr">
        <is>
          <t>Creates its own application via fixture (independent; unique generated data).</t>
        </is>
      </c>
    </row>
    <row r="109" ht="23.85" customHeight="1" s="23">
      <c r="A109" s="31" t="inlineStr">
        <is>
          <t>TC-API-01</t>
        </is>
      </c>
      <c r="B109" s="32" t="inlineStr">
        <is>
          <t>GET /api/products returns 200 and expected schema</t>
        </is>
      </c>
      <c r="C109" s="32" t="inlineStr">
        <is>
          <t>API</t>
        </is>
      </c>
      <c r="D109" s="31" t="inlineStr">
        <is>
          <t>API</t>
        </is>
      </c>
      <c r="E109" s="32" t="inlineStr">
        <is>
          <t>API-V01</t>
        </is>
      </c>
      <c r="F109" s="32" t="inlineStr">
        <is>
          <t>QR-05</t>
        </is>
      </c>
      <c r="G109" s="32" t="inlineStr">
        <is>
          <t>Product schema broken</t>
        </is>
      </c>
      <c r="H109" s="32" t="inlineStr">
        <is>
          <t>Authenticated request context.</t>
        </is>
      </c>
      <c r="I109" s="32" t="inlineStr">
        <is>
          <t>1. GET /api/products.
2. Assert status and keys/types for each product.</t>
        </is>
      </c>
      <c r="J109" s="32" t="inlineStr">
        <is>
          <t>Session/token</t>
        </is>
      </c>
      <c r="K109" s="32" t="inlineStr">
        <is>
          <t>200; each product has required keys (id, name, status, limits...) with correct types.</t>
        </is>
      </c>
      <c r="L109" s="31" t="inlineStr">
        <is>
          <t>Medium</t>
        </is>
      </c>
      <c r="M109" s="31" t="inlineStr">
        <is>
          <t>P1</t>
        </is>
      </c>
      <c r="N109" s="31" t="n">
        <v>1</v>
      </c>
      <c r="O109" s="32" t="inlineStr">
        <is>
          <t>@api @smoke products</t>
        </is>
      </c>
      <c r="P109" s="32" t="inlineStr">
        <is>
          <t>Response body</t>
        </is>
      </c>
      <c r="Q109" s="31" t="inlineStr">
        <is>
          <t>Automated</t>
        </is>
      </c>
      <c r="R109" s="32" t="inlineStr">
        <is>
          <t>tests/api/products-api.spec.ts</t>
        </is>
      </c>
      <c r="S109" s="31" t="inlineStr">
        <is>
          <t>Not run</t>
        </is>
      </c>
      <c r="T109" s="32" t="n"/>
      <c r="U109" s="31" t="inlineStr">
        <is>
          <t>Y</t>
        </is>
      </c>
      <c r="V109" s="31" t="inlineStr">
        <is>
          <t>Positive</t>
        </is>
      </c>
      <c r="W109" s="32" t="inlineStr">
        <is>
          <t>-</t>
        </is>
      </c>
      <c r="X109" s="32" t="inlineStr">
        <is>
          <t>Creates its own application via fixture (independent; unique generated data).</t>
        </is>
      </c>
    </row>
    <row r="110" ht="35.05" customHeight="1" s="23">
      <c r="A110" s="31" t="inlineStr">
        <is>
          <t>TC-API-02</t>
        </is>
      </c>
      <c r="B110" s="32" t="inlineStr">
        <is>
          <t>Protected APIs require authorization (no token, invalid token)</t>
        </is>
      </c>
      <c r="C110" s="32" t="inlineStr">
        <is>
          <t>API</t>
        </is>
      </c>
      <c r="D110" s="31" t="inlineStr">
        <is>
          <t>API</t>
        </is>
      </c>
      <c r="E110" s="32" t="inlineStr">
        <is>
          <t>API-V02</t>
        </is>
      </c>
      <c r="F110" s="32" t="inlineStr">
        <is>
          <t>QR-01</t>
        </is>
      </c>
      <c r="G110" s="32" t="inlineStr">
        <is>
          <t>API reachable without auth</t>
        </is>
      </c>
      <c r="H110" s="32" t="inlineStr">
        <is>
          <t>No token/session.</t>
        </is>
      </c>
      <c r="I110" s="32" t="inlineStr">
        <is>
          <t>1. Call GET /api/applications, /api/applications/{id}/client, /status and POST /submit with no credentials.
2. Repeat with an invalid/expired token.</t>
        </is>
      </c>
      <c r="J110" s="32" t="inlineStr">
        <is>
          <t>None / invalid token</t>
        </is>
      </c>
      <c r="K110" s="32" t="inlineStr">
        <is>
          <t>401 or 403; no application data in body.</t>
        </is>
      </c>
      <c r="L110" s="31" t="inlineStr">
        <is>
          <t>Critical</t>
        </is>
      </c>
      <c r="M110" s="31" t="inlineStr">
        <is>
          <t>P1</t>
        </is>
      </c>
      <c r="N110" s="31" t="n">
        <v>1</v>
      </c>
      <c r="O110" s="32" t="inlineStr">
        <is>
          <t>@api @smoke auth</t>
        </is>
      </c>
      <c r="P110" s="32" t="inlineStr">
        <is>
          <t>Status + body</t>
        </is>
      </c>
      <c r="Q110" s="31" t="inlineStr">
        <is>
          <t>Automated</t>
        </is>
      </c>
      <c r="R110" s="32" t="inlineStr">
        <is>
          <t>tests/api/auth-api.spec.ts</t>
        </is>
      </c>
      <c r="S110" s="31" t="inlineStr">
        <is>
          <t>Not run</t>
        </is>
      </c>
      <c r="T110" s="32" t="n"/>
      <c r="U110" s="31" t="inlineStr">
        <is>
          <t>Y</t>
        </is>
      </c>
      <c r="V110" s="31" t="inlineStr">
        <is>
          <t>Negative</t>
        </is>
      </c>
      <c r="W110" s="32" t="inlineStr">
        <is>
          <t>-</t>
        </is>
      </c>
      <c r="X110" s="32" t="inlineStr">
        <is>
          <t>Creates its own application via fixture (independent; unique generated data).</t>
        </is>
      </c>
    </row>
    <row r="111" ht="35.05" customHeight="1" s="23">
      <c r="A111" s="31" t="inlineStr">
        <is>
          <t>TC-API-03</t>
        </is>
      </c>
      <c r="B111" s="32" t="inlineStr">
        <is>
          <t>Client API rejects invalid DOB</t>
        </is>
      </c>
      <c r="C111" s="32" t="inlineStr">
        <is>
          <t>API</t>
        </is>
      </c>
      <c r="D111" s="31" t="inlineStr">
        <is>
          <t>API</t>
        </is>
      </c>
      <c r="E111" s="32" t="inlineStr">
        <is>
          <t>API-V03</t>
        </is>
      </c>
      <c r="F111" s="32" t="inlineStr">
        <is>
          <t>QR-03</t>
        </is>
      </c>
      <c r="G111" s="32" t="inlineStr">
        <is>
          <t>UI and API rules differ</t>
        </is>
      </c>
      <c r="H111" s="32" t="inlineStr">
        <is>
          <t>Authenticated; application id owned.</t>
        </is>
      </c>
      <c r="I111" s="32" t="inlineStr">
        <is>
          <t>1. POST client payload with future DOB.
2. POST with underage DOB.
3. GET client to confirm nothing saved.</t>
        </is>
      </c>
      <c r="J111" s="32" t="inlineStr">
        <is>
          <t>Future and underage DOBs</t>
        </is>
      </c>
      <c r="K111" s="32" t="inlineStr">
        <is>
          <t>4xx validation error with error structure; invalid DOB not persisted.</t>
        </is>
      </c>
      <c r="L111" s="31" t="inlineStr">
        <is>
          <t>Critical</t>
        </is>
      </c>
      <c r="M111" s="31" t="inlineStr">
        <is>
          <t>P1</t>
        </is>
      </c>
      <c r="N111" s="31" t="n">
        <v>2</v>
      </c>
      <c r="O111" s="32" t="inlineStr">
        <is>
          <t>@api @regression client</t>
        </is>
      </c>
      <c r="P111" s="32" t="inlineStr">
        <is>
          <t>Request/response</t>
        </is>
      </c>
      <c r="Q111" s="31" t="inlineStr">
        <is>
          <t>Automated</t>
        </is>
      </c>
      <c r="R111" s="32" t="inlineStr">
        <is>
          <t>tests/api/client-api.spec.ts</t>
        </is>
      </c>
      <c r="S111" s="31" t="inlineStr">
        <is>
          <t>Not run</t>
        </is>
      </c>
      <c r="T111" s="32" t="n"/>
      <c r="U111" s="31" t="inlineStr">
        <is>
          <t>Y</t>
        </is>
      </c>
      <c r="V111" s="31" t="inlineStr">
        <is>
          <t>Boundary</t>
        </is>
      </c>
      <c r="W111" s="32" t="inlineStr">
        <is>
          <t>-</t>
        </is>
      </c>
      <c r="X111" s="32" t="inlineStr">
        <is>
          <t>Creates its own application via fixture (independent; unique generated data).</t>
        </is>
      </c>
    </row>
    <row r="112" ht="23.85" customHeight="1" s="23">
      <c r="A112" s="31" t="inlineStr">
        <is>
          <t>TC-API-04</t>
        </is>
      </c>
      <c r="B112" s="32" t="inlineStr">
        <is>
          <t>Validation API returns beneficiary allocation error</t>
        </is>
      </c>
      <c r="C112" s="32" t="inlineStr">
        <is>
          <t>API</t>
        </is>
      </c>
      <c r="D112" s="31" t="inlineStr">
        <is>
          <t>API</t>
        </is>
      </c>
      <c r="E112" s="32" t="inlineStr">
        <is>
          <t>API-V04</t>
        </is>
      </c>
      <c r="F112" s="32" t="inlineStr">
        <is>
          <t>QR-07</t>
        </is>
      </c>
      <c r="G112" s="32" t="inlineStr">
        <is>
          <t>UI and API rules differ</t>
        </is>
      </c>
      <c r="H112" s="32" t="inlineStr">
        <is>
          <t>Application with 90% primary allocation.</t>
        </is>
      </c>
      <c r="I112" s="32" t="inlineStr">
        <is>
          <t>1. POST /api/applications/{id}/validate.</t>
        </is>
      </c>
      <c r="J112" s="32" t="inlineStr">
        <is>
          <t>Under-allocated beneficiaries</t>
        </is>
      </c>
      <c r="K112" s="32" t="inlineStr">
        <is>
          <t>Response lists allocation error in expected error structure.</t>
        </is>
      </c>
      <c r="L112" s="31" t="inlineStr">
        <is>
          <t>High</t>
        </is>
      </c>
      <c r="M112" s="31" t="inlineStr">
        <is>
          <t>P1</t>
        </is>
      </c>
      <c r="N112" s="31" t="n">
        <v>2</v>
      </c>
      <c r="O112" s="32" t="inlineStr">
        <is>
          <t>@api @regression beneficiary</t>
        </is>
      </c>
      <c r="P112" s="32" t="inlineStr">
        <is>
          <t>Response body</t>
        </is>
      </c>
      <c r="Q112" s="31" t="inlineStr">
        <is>
          <t>Automated</t>
        </is>
      </c>
      <c r="R112" s="32" t="inlineStr">
        <is>
          <t>tests/api/validation-api.spec.ts</t>
        </is>
      </c>
      <c r="S112" s="31" t="inlineStr">
        <is>
          <t>Not run</t>
        </is>
      </c>
      <c r="T112" s="32" t="n"/>
      <c r="U112" s="31" t="inlineStr">
        <is>
          <t>N</t>
        </is>
      </c>
      <c r="V112" s="31" t="inlineStr">
        <is>
          <t>Negative</t>
        </is>
      </c>
      <c r="W112" s="32" t="inlineStr">
        <is>
          <t>-</t>
        </is>
      </c>
      <c r="X112" s="32" t="inlineStr">
        <is>
          <t>Creates its own application via fixture (independent; unique generated data).</t>
        </is>
      </c>
    </row>
    <row r="113" ht="23.85" customHeight="1" s="23">
      <c r="A113" s="31" t="inlineStr">
        <is>
          <t>TC-API-05</t>
        </is>
      </c>
      <c r="B113" s="32" t="inlineStr">
        <is>
          <t>Submission API rejects incomplete application</t>
        </is>
      </c>
      <c r="C113" s="32" t="inlineStr">
        <is>
          <t>API</t>
        </is>
      </c>
      <c r="D113" s="31" t="inlineStr">
        <is>
          <t>API</t>
        </is>
      </c>
      <c r="E113" s="32" t="inlineStr">
        <is>
          <t>API-V05</t>
        </is>
      </c>
      <c r="F113" s="32" t="inlineStr">
        <is>
          <t>QR-09</t>
        </is>
      </c>
      <c r="G113" s="32" t="inlineStr">
        <is>
          <t>Incomplete application submits</t>
        </is>
      </c>
      <c r="H113" s="32" t="inlineStr">
        <is>
          <t>Draft application with missing sections.</t>
        </is>
      </c>
      <c r="I113" s="32" t="inlineStr">
        <is>
          <t>1. POST /api/applications/{id}/submit.
2. GET status.</t>
        </is>
      </c>
      <c r="J113" s="32" t="inlineStr">
        <is>
          <t>Incomplete draft</t>
        </is>
      </c>
      <c r="K113" s="32" t="inlineStr">
        <is>
          <t>Error response; no reference number; status remains Draft.</t>
        </is>
      </c>
      <c r="L113" s="31" t="inlineStr">
        <is>
          <t>Critical</t>
        </is>
      </c>
      <c r="M113" s="31" t="inlineStr">
        <is>
          <t>P1</t>
        </is>
      </c>
      <c r="N113" s="31" t="n">
        <v>2</v>
      </c>
      <c r="O113" s="32" t="inlineStr">
        <is>
          <t>@api @regression workflow</t>
        </is>
      </c>
      <c r="P113" s="32" t="inlineStr">
        <is>
          <t>Response + status</t>
        </is>
      </c>
      <c r="Q113" s="31" t="inlineStr">
        <is>
          <t>Automated</t>
        </is>
      </c>
      <c r="R113" s="32" t="inlineStr">
        <is>
          <t>tests/api/submission-api.spec.ts</t>
        </is>
      </c>
      <c r="S113" s="31" t="inlineStr">
        <is>
          <t>Not run</t>
        </is>
      </c>
      <c r="T113" s="32" t="n"/>
      <c r="U113" s="31" t="inlineStr">
        <is>
          <t>Y</t>
        </is>
      </c>
      <c r="V113" s="31" t="inlineStr">
        <is>
          <t>Negative</t>
        </is>
      </c>
      <c r="W113" s="32" t="inlineStr">
        <is>
          <t>-</t>
        </is>
      </c>
      <c r="X113" s="32" t="inlineStr">
        <is>
          <t>Creates its own application via fixture (independent; unique generated data).</t>
        </is>
      </c>
    </row>
    <row r="114" ht="35.05" customHeight="1" s="23">
      <c r="A114" s="31" t="inlineStr">
        <is>
          <t>TC-API-06</t>
        </is>
      </c>
      <c r="B114" s="32" t="inlineStr">
        <is>
          <t>Applications list API matches dashboard rows (list endpoint)</t>
        </is>
      </c>
      <c r="C114" s="32" t="inlineStr">
        <is>
          <t>API</t>
        </is>
      </c>
      <c r="D114" s="31" t="inlineStr">
        <is>
          <t>API</t>
        </is>
      </c>
      <c r="E114" s="32" t="inlineStr">
        <is>
          <t>API-V06</t>
        </is>
      </c>
      <c r="F114" s="32" t="inlineStr">
        <is>
          <t>QR-02</t>
        </is>
      </c>
      <c r="G114" s="32" t="inlineStr">
        <is>
          <t>Dashboard status differs from backend</t>
        </is>
      </c>
      <c r="H114" s="32" t="inlineStr">
        <is>
          <t>Valid agent with applications.</t>
        </is>
      </c>
      <c r="I114" s="32" t="inlineStr">
        <is>
          <t>1. GET /api/applications.
2. Read dashboard rows (id, status, name).
3. Compare ids, count and statuses.</t>
        </is>
      </c>
      <c r="J114" s="32" t="inlineStr">
        <is>
          <t>Seeded applications</t>
        </is>
      </c>
      <c r="K114" s="32" t="inlineStr">
        <is>
          <t>Same applications and statuses in API and UI.</t>
        </is>
      </c>
      <c r="L114" s="31" t="inlineStr">
        <is>
          <t>High</t>
        </is>
      </c>
      <c r="M114" s="31" t="inlineStr">
        <is>
          <t>P2</t>
        </is>
      </c>
      <c r="N114" s="31" t="n">
        <v>2</v>
      </c>
      <c r="O114" s="32" t="inlineStr">
        <is>
          <t>@api @regression dashboard</t>
        </is>
      </c>
      <c r="P114" s="32" t="inlineStr">
        <is>
          <t>Comparison table</t>
        </is>
      </c>
      <c r="Q114" s="31" t="inlineStr">
        <is>
          <t>Automated</t>
        </is>
      </c>
      <c r="R114" s="32" t="inlineStr">
        <is>
          <t>tests/api/applications-api.spec.ts</t>
        </is>
      </c>
      <c r="S114" s="31" t="inlineStr">
        <is>
          <t>Not run</t>
        </is>
      </c>
      <c r="T114" s="32" t="n"/>
      <c r="U114" s="31" t="inlineStr">
        <is>
          <t>N</t>
        </is>
      </c>
      <c r="V114" s="31" t="inlineStr">
        <is>
          <t>Positive</t>
        </is>
      </c>
      <c r="W114" s="32" t="inlineStr">
        <is>
          <t>-</t>
        </is>
      </c>
      <c r="X114" s="32" t="inlineStr">
        <is>
          <t>Creates its own application via fixture (independent; unique generated data).</t>
        </is>
      </c>
    </row>
    <row r="115" ht="35.05" customHeight="1" s="23">
      <c r="A115" s="31" t="inlineStr">
        <is>
          <t>TC-API-07</t>
        </is>
      </c>
      <c r="B115" s="32" t="inlineStr">
        <is>
          <t>Product detail API matches UI detail page</t>
        </is>
      </c>
      <c r="C115" s="32" t="inlineStr">
        <is>
          <t>API</t>
        </is>
      </c>
      <c r="D115" s="31" t="inlineStr">
        <is>
          <t>API</t>
        </is>
      </c>
      <c r="E115" s="32" t="inlineStr">
        <is>
          <t>API-V07</t>
        </is>
      </c>
      <c r="F115" s="32" t="inlineStr">
        <is>
          <t>QR-05</t>
        </is>
      </c>
      <c r="G115" s="32" t="inlineStr">
        <is>
          <t>Product data mismatch</t>
        </is>
      </c>
      <c r="H115" s="32" t="inlineStr">
        <is>
          <t>Authenticated.</t>
        </is>
      </c>
      <c r="I115" s="32" t="inlineStr">
        <is>
          <t>1. GET /api/products/{id}.
2. Open same product in UI.
3. Compare limits/terms/features.</t>
        </is>
      </c>
      <c r="J115" s="32" t="inlineStr">
        <is>
          <t>First active product</t>
        </is>
      </c>
      <c r="K115" s="32" t="inlineStr">
        <is>
          <t>Fields match between API and UI.</t>
        </is>
      </c>
      <c r="L115" s="31" t="inlineStr">
        <is>
          <t>Medium</t>
        </is>
      </c>
      <c r="M115" s="31" t="inlineStr">
        <is>
          <t>P2</t>
        </is>
      </c>
      <c r="N115" s="31" t="n">
        <v>3</v>
      </c>
      <c r="O115" s="32" t="inlineStr">
        <is>
          <t>@api @regression product</t>
        </is>
      </c>
      <c r="P115" s="32" t="inlineStr">
        <is>
          <t>Comparison in log</t>
        </is>
      </c>
      <c r="Q115" s="31" t="inlineStr">
        <is>
          <t>Automated</t>
        </is>
      </c>
      <c r="R115" s="32" t="inlineStr">
        <is>
          <t>tests/api/products-api.spec.ts</t>
        </is>
      </c>
      <c r="S115" s="31" t="inlineStr">
        <is>
          <t>Not run</t>
        </is>
      </c>
      <c r="T115" s="32" t="n"/>
      <c r="U115" s="31" t="inlineStr">
        <is>
          <t>N</t>
        </is>
      </c>
      <c r="V115" s="31" t="inlineStr">
        <is>
          <t>Positive</t>
        </is>
      </c>
      <c r="W115" s="32" t="inlineStr">
        <is>
          <t>-</t>
        </is>
      </c>
      <c r="X115" s="32" t="inlineStr">
        <is>
          <t>Creates its own application via fixture (independent; unique generated data).</t>
        </is>
      </c>
    </row>
    <row r="116" ht="23.85" customHeight="1" s="23">
      <c r="A116" s="31" t="inlineStr">
        <is>
          <t>TC-API-08</t>
        </is>
      </c>
      <c r="B116" s="32" t="inlineStr">
        <is>
          <t>Applications API returns only logged-in agent's records</t>
        </is>
      </c>
      <c r="C116" s="32" t="inlineStr">
        <is>
          <t>API</t>
        </is>
      </c>
      <c r="D116" s="31" t="inlineStr">
        <is>
          <t>API</t>
        </is>
      </c>
      <c r="E116" s="32" t="inlineStr">
        <is>
          <t>API-V08</t>
        </is>
      </c>
      <c r="F116" s="32" t="inlineStr">
        <is>
          <t>QR-02</t>
        </is>
      </c>
      <c r="G116" s="32" t="inlineStr">
        <is>
          <t>Cross-agent data exposure</t>
        </is>
      </c>
      <c r="H116" s="32" t="inlineStr">
        <is>
          <t>Two agents with applications.</t>
        </is>
      </c>
      <c r="I116" s="32" t="inlineStr">
        <is>
          <t>1. GET /api/applications as agent A and B.
2. Request agent A's application id as agent B.</t>
        </is>
      </c>
      <c r="J116" s="32" t="inlineStr">
        <is>
          <t>VALID_AGENT, SECOND_AGENT</t>
        </is>
      </c>
      <c r="K116" s="32" t="inlineStr">
        <is>
          <t>Lists do not overlap; cross-agent id returns 403/404.</t>
        </is>
      </c>
      <c r="L116" s="31" t="inlineStr">
        <is>
          <t>Critical</t>
        </is>
      </c>
      <c r="M116" s="31" t="inlineStr">
        <is>
          <t>P1</t>
        </is>
      </c>
      <c r="N116" s="31" t="n">
        <v>2</v>
      </c>
      <c r="O116" s="32" t="inlineStr">
        <is>
          <t>@api @regression dashboard</t>
        </is>
      </c>
      <c r="P116" s="32" t="inlineStr">
        <is>
          <t>Both responses</t>
        </is>
      </c>
      <c r="Q116" s="31" t="inlineStr">
        <is>
          <t>Automated</t>
        </is>
      </c>
      <c r="R116" s="32" t="inlineStr">
        <is>
          <t>tests/api/applications-api.spec.ts</t>
        </is>
      </c>
      <c r="S116" s="31" t="inlineStr">
        <is>
          <t>Not run</t>
        </is>
      </c>
      <c r="T116" s="32" t="n"/>
      <c r="U116" s="31" t="inlineStr">
        <is>
          <t>Y</t>
        </is>
      </c>
      <c r="V116" s="31" t="inlineStr">
        <is>
          <t>Negative</t>
        </is>
      </c>
      <c r="W116" s="32" t="inlineStr">
        <is>
          <t>-</t>
        </is>
      </c>
      <c r="X116" s="32" t="inlineStr">
        <is>
          <t>Creates its own application via fixture (independent; unique generated data).</t>
        </is>
      </c>
    </row>
    <row r="117" ht="35.05" customHeight="1" s="23">
      <c r="A117" s="31" t="inlineStr">
        <is>
          <t>TC-API-09</t>
        </is>
      </c>
      <c r="B117" s="32" t="inlineStr">
        <is>
          <t>Login API rejects invalid credentials</t>
        </is>
      </c>
      <c r="C117" s="32" t="inlineStr">
        <is>
          <t>API</t>
        </is>
      </c>
      <c r="D117" s="31" t="inlineStr">
        <is>
          <t>API</t>
        </is>
      </c>
      <c r="E117" s="32" t="inlineStr">
        <is>
          <t>Spec: POST /api/auth/login</t>
        </is>
      </c>
      <c r="F117" s="32" t="inlineStr">
        <is>
          <t>QR-01</t>
        </is>
      </c>
      <c r="G117" s="32" t="inlineStr">
        <is>
          <t>Misleading login response</t>
        </is>
      </c>
      <c r="H117" s="32" t="inlineStr">
        <is>
          <t>None.</t>
        </is>
      </c>
      <c r="I117" s="32" t="inlineStr">
        <is>
          <t>1. POST /api/auth/login with wrong password.
2. POST with unknown user.
3. POST with valid credentials.</t>
        </is>
      </c>
      <c r="J117" s="32" t="inlineStr">
        <is>
          <t>Wrong/unknown/valid</t>
        </is>
      </c>
      <c r="K117" s="32" t="inlineStr">
        <is>
          <t>401 for invalid cases with consistent error structure; 200 with token/session for valid.</t>
        </is>
      </c>
      <c r="L117" s="31" t="inlineStr">
        <is>
          <t>High</t>
        </is>
      </c>
      <c r="M117" s="31" t="inlineStr">
        <is>
          <t>P1</t>
        </is>
      </c>
      <c r="N117" s="31" t="n">
        <v>2</v>
      </c>
      <c r="O117" s="32" t="inlineStr">
        <is>
          <t>@api @regression auth</t>
        </is>
      </c>
      <c r="P117" s="32" t="inlineStr">
        <is>
          <t>Responses (token redacted)</t>
        </is>
      </c>
      <c r="Q117" s="31" t="inlineStr">
        <is>
          <t>Automated</t>
        </is>
      </c>
      <c r="R117" s="32" t="inlineStr">
        <is>
          <t>tests/api/auth-api.spec.ts</t>
        </is>
      </c>
      <c r="S117" s="31" t="inlineStr">
        <is>
          <t>Not run</t>
        </is>
      </c>
      <c r="T117" s="32" t="n"/>
      <c r="U117" s="31" t="inlineStr">
        <is>
          <t>N</t>
        </is>
      </c>
      <c r="V117" s="31" t="inlineStr">
        <is>
          <t>Negative</t>
        </is>
      </c>
      <c r="W117" s="32" t="inlineStr">
        <is>
          <t>-</t>
        </is>
      </c>
      <c r="X117" s="32" t="inlineStr">
        <is>
          <t>Creates its own application via fixture (independent; unique generated data).</t>
        </is>
      </c>
    </row>
    <row r="118" ht="35.05" customHeight="1" s="23">
      <c r="A118" s="31" t="inlineStr">
        <is>
          <t>TC-API-10</t>
        </is>
      </c>
      <c r="B118" s="32" t="inlineStr">
        <is>
          <t>Riders API returns schema, categories and eligibility data</t>
        </is>
      </c>
      <c r="C118" s="32" t="inlineStr">
        <is>
          <t>API</t>
        </is>
      </c>
      <c r="D118" s="31" t="inlineStr">
        <is>
          <t>API</t>
        </is>
      </c>
      <c r="E118" s="32" t="inlineStr">
        <is>
          <t>Spec: GET /api/riders</t>
        </is>
      </c>
      <c r="F118" s="32" t="inlineStr">
        <is>
          <t>QR-06</t>
        </is>
      </c>
      <c r="G118" s="32" t="inlineStr">
        <is>
          <t>Rider data/contract broken</t>
        </is>
      </c>
      <c r="H118" s="32" t="inlineStr">
        <is>
          <t>Authenticated.</t>
        </is>
      </c>
      <c r="I118" s="32" t="inlineStr">
        <is>
          <t>1. GET /api/riders.
2. Validate keys/types; check eligibility and dependency fields exist.</t>
        </is>
      </c>
      <c r="J118" s="32" t="inlineStr">
        <is>
          <t>Session</t>
        </is>
      </c>
      <c r="K118" s="32" t="inlineStr">
        <is>
          <t>200; each rider has id, name, category, eligibility/limit fields with correct types; matches UI rider list.</t>
        </is>
      </c>
      <c r="L118" s="31" t="inlineStr">
        <is>
          <t>Medium</t>
        </is>
      </c>
      <c r="M118" s="31" t="inlineStr">
        <is>
          <t>P2</t>
        </is>
      </c>
      <c r="N118" s="31" t="n">
        <v>2</v>
      </c>
      <c r="O118" s="32" t="inlineStr">
        <is>
          <t>@api @regression rider</t>
        </is>
      </c>
      <c r="P118" s="32" t="inlineStr">
        <is>
          <t>Response body</t>
        </is>
      </c>
      <c r="Q118" s="31" t="inlineStr">
        <is>
          <t>Automated</t>
        </is>
      </c>
      <c r="R118" s="32" t="inlineStr">
        <is>
          <t>tests/api/riders-api.spec.ts</t>
        </is>
      </c>
      <c r="S118" s="31" t="inlineStr">
        <is>
          <t>Not run</t>
        </is>
      </c>
      <c r="T118" s="32" t="n"/>
      <c r="U118" s="31" t="inlineStr">
        <is>
          <t>N</t>
        </is>
      </c>
      <c r="V118" s="31" t="inlineStr">
        <is>
          <t>Positive</t>
        </is>
      </c>
      <c r="W118" s="32" t="inlineStr">
        <is>
          <t>-</t>
        </is>
      </c>
      <c r="X118" s="32" t="inlineStr">
        <is>
          <t>Creates its own application via fixture (independent; unique generated data).</t>
        </is>
      </c>
    </row>
    <row r="119" ht="46.25" customHeight="1" s="23">
      <c r="A119" s="31" t="inlineStr">
        <is>
          <t>TC-API-11</t>
        </is>
      </c>
      <c r="B119" s="32" t="inlineStr">
        <is>
          <t>Beneficiaries API enforces allocation, minor guardian and duplicate rules</t>
        </is>
      </c>
      <c r="C119" s="32" t="inlineStr">
        <is>
          <t>API</t>
        </is>
      </c>
      <c r="D119" s="31" t="inlineStr">
        <is>
          <t>API</t>
        </is>
      </c>
      <c r="E119" s="32" t="inlineStr">
        <is>
          <t>Spec: POST /api/applications/{id}/beneficiaries</t>
        </is>
      </c>
      <c r="F119" s="32" t="inlineStr">
        <is>
          <t>QR-07</t>
        </is>
      </c>
      <c r="G119" s="32" t="inlineStr">
        <is>
          <t>UI and API rules differ</t>
        </is>
      </c>
      <c r="H119" s="32" t="inlineStr">
        <is>
          <t>Authenticated; application id owned.</t>
        </is>
      </c>
      <c r="I119" s="32" t="inlineStr">
        <is>
          <t>1. POST beneficiaries totalling 99% / 101%.
2. POST minor without guardian.
3. POST duplicate (name+DOB+relationship).
4. GET beneficiaries to confirm none persisted.</t>
        </is>
      </c>
      <c r="J119" s="32" t="inlineStr">
        <is>
          <t>Invalid payloads</t>
        </is>
      </c>
      <c r="K119" s="32" t="inlineStr">
        <is>
          <t>Each rejected with 4xx and structured errors; GET shows rejected data not stored.</t>
        </is>
      </c>
      <c r="L119" s="31" t="inlineStr">
        <is>
          <t>High</t>
        </is>
      </c>
      <c r="M119" s="31" t="inlineStr">
        <is>
          <t>P1</t>
        </is>
      </c>
      <c r="N119" s="31" t="n">
        <v>2</v>
      </c>
      <c r="O119" s="32" t="inlineStr">
        <is>
          <t>@api @regression beneficiary</t>
        </is>
      </c>
      <c r="P119" s="32" t="inlineStr">
        <is>
          <t>Request/response pairs</t>
        </is>
      </c>
      <c r="Q119" s="31" t="inlineStr">
        <is>
          <t>Automated</t>
        </is>
      </c>
      <c r="R119" s="32" t="inlineStr">
        <is>
          <t>tests/api/beneficiaries-api.spec.ts</t>
        </is>
      </c>
      <c r="S119" s="31" t="inlineStr">
        <is>
          <t>Not run</t>
        </is>
      </c>
      <c r="T119" s="32" t="n"/>
      <c r="U119" s="31" t="inlineStr">
        <is>
          <t>N</t>
        </is>
      </c>
      <c r="V119" s="31" t="inlineStr">
        <is>
          <t>Negative</t>
        </is>
      </c>
      <c r="W119" s="32" t="inlineStr">
        <is>
          <t>-</t>
        </is>
      </c>
      <c r="X119" s="32" t="inlineStr">
        <is>
          <t>Creates its own application via fixture (independent; unique generated data).</t>
        </is>
      </c>
    </row>
    <row r="120" ht="35.05" customHeight="1" s="23">
      <c r="A120" s="31" t="inlineStr">
        <is>
          <t>TC-API-12</t>
        </is>
      </c>
      <c r="B120" s="32" t="inlineStr">
        <is>
          <t>Documents API rejects unsupported type and oversize files</t>
        </is>
      </c>
      <c r="C120" s="32" t="inlineStr">
        <is>
          <t>API</t>
        </is>
      </c>
      <c r="D120" s="31" t="inlineStr">
        <is>
          <t>API</t>
        </is>
      </c>
      <c r="E120" s="32" t="inlineStr">
        <is>
          <t>Spec: POST /api/applications/{id}/documents</t>
        </is>
      </c>
      <c r="F120" s="32" t="inlineStr">
        <is>
          <t>QR-08</t>
        </is>
      </c>
      <c r="G120" s="32" t="inlineStr">
        <is>
          <t>UI and API rules differ</t>
        </is>
      </c>
      <c r="H120" s="32" t="inlineStr">
        <is>
          <t>Authenticated; application id owned.</t>
        </is>
      </c>
      <c r="I120" s="32" t="inlineStr">
        <is>
          <t>1. POST .exe file.
2. POST file above max size.
3. POST valid PDF.</t>
        </is>
      </c>
      <c r="J120" s="32" t="inlineStr">
        <is>
          <t>fixtures/files</t>
        </is>
      </c>
      <c r="K120" s="32" t="inlineStr">
        <is>
          <t>Invalid type and oversize rejected (4xx, structured error); valid file accepted and status retrievable.</t>
        </is>
      </c>
      <c r="L120" s="31" t="inlineStr">
        <is>
          <t>High</t>
        </is>
      </c>
      <c r="M120" s="31" t="inlineStr">
        <is>
          <t>P2</t>
        </is>
      </c>
      <c r="N120" s="31" t="n">
        <v>3</v>
      </c>
      <c r="O120" s="32" t="inlineStr">
        <is>
          <t>@api @regression documents</t>
        </is>
      </c>
      <c r="P120" s="32" t="inlineStr">
        <is>
          <t>Responses</t>
        </is>
      </c>
      <c r="Q120" s="31" t="inlineStr">
        <is>
          <t>Automated</t>
        </is>
      </c>
      <c r="R120" s="32" t="inlineStr">
        <is>
          <t>tests/api/documents-api.spec.ts</t>
        </is>
      </c>
      <c r="S120" s="31" t="inlineStr">
        <is>
          <t>Not run</t>
        </is>
      </c>
      <c r="T120" s="32" t="n"/>
      <c r="U120" s="31" t="inlineStr">
        <is>
          <t>N</t>
        </is>
      </c>
      <c r="V120" s="31" t="inlineStr">
        <is>
          <t>Negative</t>
        </is>
      </c>
      <c r="W120" s="32" t="inlineStr">
        <is>
          <t>-</t>
        </is>
      </c>
      <c r="X120" s="32" t="inlineStr">
        <is>
          <t>Creates its own application via fixture (independent; unique generated data).</t>
        </is>
      </c>
    </row>
    <row r="121" ht="35.05" customHeight="1" s="23">
      <c r="A121" s="31" t="inlineStr">
        <is>
          <t>TC-API-13</t>
        </is>
      </c>
      <c r="B121" s="32" t="inlineStr">
        <is>
          <t>Client API persistence and required-field validation errors</t>
        </is>
      </c>
      <c r="C121" s="32" t="inlineStr">
        <is>
          <t>API</t>
        </is>
      </c>
      <c r="D121" s="31" t="inlineStr">
        <is>
          <t>API</t>
        </is>
      </c>
      <c r="E121" s="32" t="inlineStr">
        <is>
          <t>Spec: GET/POST /api/applications/{id}/client</t>
        </is>
      </c>
      <c r="F121" s="32" t="inlineStr">
        <is>
          <t>QR-03, QR-10</t>
        </is>
      </c>
      <c r="G121" s="32" t="inlineStr">
        <is>
          <t>Client data not persisted / errors unstructured</t>
        </is>
      </c>
      <c r="H121" s="32" t="inlineStr">
        <is>
          <t>Authenticated; new application id.</t>
        </is>
      </c>
      <c r="I121" s="32" t="inlineStr">
        <is>
          <t>1. POST client with required fields missing.
2. POST valid client.
3. GET client.</t>
        </is>
      </c>
      <c r="J121" s="32" t="inlineStr">
        <is>
          <t>Incomplete / valid payloads</t>
        </is>
      </c>
      <c r="K121" s="32" t="inlineStr">
        <is>
          <t>Missing fields produce 4xx with field-level errors; valid POST then GET returns the same values.</t>
        </is>
      </c>
      <c r="L121" s="31" t="inlineStr">
        <is>
          <t>High</t>
        </is>
      </c>
      <c r="M121" s="31" t="inlineStr">
        <is>
          <t>P2</t>
        </is>
      </c>
      <c r="N121" s="31" t="n">
        <v>2</v>
      </c>
      <c r="O121" s="32" t="inlineStr">
        <is>
          <t>@api @regression client</t>
        </is>
      </c>
      <c r="P121" s="32" t="inlineStr">
        <is>
          <t>Responses</t>
        </is>
      </c>
      <c r="Q121" s="31" t="inlineStr">
        <is>
          <t>Automated</t>
        </is>
      </c>
      <c r="R121" s="32" t="inlineStr">
        <is>
          <t>tests/api/client-api.spec.ts</t>
        </is>
      </c>
      <c r="S121" s="31" t="inlineStr">
        <is>
          <t>Not run</t>
        </is>
      </c>
      <c r="T121" s="32" t="n"/>
      <c r="U121" s="31" t="inlineStr">
        <is>
          <t>N</t>
        </is>
      </c>
      <c r="V121" s="31" t="inlineStr">
        <is>
          <t>Positive</t>
        </is>
      </c>
      <c r="W121" s="32" t="inlineStr">
        <is>
          <t>-</t>
        </is>
      </c>
      <c r="X121" s="32" t="inlineStr">
        <is>
          <t>Creates its own application via fixture (independent; unique generated data).</t>
        </is>
      </c>
    </row>
    <row r="122" ht="35.05" customHeight="1" s="23">
      <c r="A122" s="31" t="inlineStr">
        <is>
          <t>TC-API-14</t>
        </is>
      </c>
      <c r="B122" s="32" t="inlineStr">
        <is>
          <t>Status API returns current status, history and timestamps</t>
        </is>
      </c>
      <c r="C122" s="32" t="inlineStr">
        <is>
          <t>API</t>
        </is>
      </c>
      <c r="D122" s="31" t="inlineStr">
        <is>
          <t>API</t>
        </is>
      </c>
      <c r="E122" s="32" t="inlineStr">
        <is>
          <t>Spec: GET /api/applications/{id}/status</t>
        </is>
      </c>
      <c r="F122" s="32" t="inlineStr">
        <is>
          <t>QR-09</t>
        </is>
      </c>
      <c r="G122" s="32" t="inlineStr">
        <is>
          <t>Status history gaps</t>
        </is>
      </c>
      <c r="H122" s="32" t="inlineStr">
        <is>
          <t>Submitted and draft applications.</t>
        </is>
      </c>
      <c r="I122" s="32" t="inlineStr">
        <is>
          <t>1. GET status for a draft.
2. GET status for a submitted application.</t>
        </is>
      </c>
      <c r="J122" s="32" t="inlineStr">
        <is>
          <t>Seeded draft + submitted</t>
        </is>
      </c>
      <c r="K122" s="32" t="inlineStr">
        <is>
          <t>Draft: status Draft; submitted: status Submitted with history entries in order and valid timestamps.</t>
        </is>
      </c>
      <c r="L122" s="31" t="inlineStr">
        <is>
          <t>Medium</t>
        </is>
      </c>
      <c r="M122" s="31" t="inlineStr">
        <is>
          <t>P2</t>
        </is>
      </c>
      <c r="N122" s="31" t="n">
        <v>3</v>
      </c>
      <c r="O122" s="32" t="inlineStr">
        <is>
          <t>@api @regression workflow</t>
        </is>
      </c>
      <c r="P122" s="32" t="inlineStr">
        <is>
          <t>Responses</t>
        </is>
      </c>
      <c r="Q122" s="31" t="inlineStr">
        <is>
          <t>Automated</t>
        </is>
      </c>
      <c r="R122" s="32" t="inlineStr">
        <is>
          <t>tests/api/status-api.spec.ts</t>
        </is>
      </c>
      <c r="S122" s="31" t="inlineStr">
        <is>
          <t>Not run</t>
        </is>
      </c>
      <c r="T122" s="32" t="n"/>
      <c r="U122" s="31" t="inlineStr">
        <is>
          <t>N</t>
        </is>
      </c>
      <c r="V122" s="31" t="inlineStr">
        <is>
          <t>Positive</t>
        </is>
      </c>
      <c r="W122" s="32" t="inlineStr">
        <is>
          <t>-</t>
        </is>
      </c>
      <c r="X122" s="32" t="inlineStr">
        <is>
          <t>Creates its own application via fixture (independent; unique generated data).</t>
        </is>
      </c>
    </row>
    <row r="123" ht="35.05" customHeight="1" s="23">
      <c r="A123" s="31" t="inlineStr">
        <is>
          <t>TC-API-15</t>
        </is>
      </c>
      <c r="B123" s="32" t="inlineStr">
        <is>
          <t>UI and API give the same verdict for the same invalid input (rule parity)</t>
        </is>
      </c>
      <c r="C123" s="32" t="inlineStr">
        <is>
          <t>API</t>
        </is>
      </c>
      <c r="D123" s="31" t="inlineStr">
        <is>
          <t>API</t>
        </is>
      </c>
      <c r="E123" s="32" t="inlineStr">
        <is>
          <t>Problem statement 2.2: API validation differs from UI</t>
        </is>
      </c>
      <c r="F123" s="32" t="inlineStr">
        <is>
          <t>QR-03, QR-07, QR-09</t>
        </is>
      </c>
      <c r="G123" s="32" t="inlineStr">
        <is>
          <t>UI and API rules differ</t>
        </is>
      </c>
      <c r="H123" s="32" t="inlineStr">
        <is>
          <t>Authenticated; UI and API tests run on the same data set.</t>
        </is>
      </c>
      <c r="I123" s="32" t="inlineStr">
        <is>
          <t>1. For each case (future DOB, underage DOB, allocation 99%, minor w/o guardian) submit via UI and via API.
2. Compare accept/reject outcome.</t>
        </is>
      </c>
      <c r="J123" s="32" t="inlineStr">
        <is>
          <t>Shared invalid datasets</t>
        </is>
      </c>
      <c r="K123" s="32" t="inlineStr">
        <is>
          <t>Outcome is identical in UI and API for every case; any difference is logged as a defect.</t>
        </is>
      </c>
      <c r="L123" s="31" t="inlineStr">
        <is>
          <t>Critical</t>
        </is>
      </c>
      <c r="M123" s="31" t="inlineStr">
        <is>
          <t>P1</t>
        </is>
      </c>
      <c r="N123" s="31" t="n">
        <v>3</v>
      </c>
      <c r="O123" s="32" t="inlineStr">
        <is>
          <t>@api @regression</t>
        </is>
      </c>
      <c r="P123" s="32" t="inlineStr">
        <is>
          <t>Parity table in test log</t>
        </is>
      </c>
      <c r="Q123" s="31" t="inlineStr">
        <is>
          <t>Automated</t>
        </is>
      </c>
      <c r="R123" s="32" t="inlineStr">
        <is>
          <t>tests/api/parity.spec.ts</t>
        </is>
      </c>
      <c r="S123" s="31" t="inlineStr">
        <is>
          <t>Not run</t>
        </is>
      </c>
      <c r="T123" s="32" t="n"/>
      <c r="U123" s="31" t="inlineStr">
        <is>
          <t>Y</t>
        </is>
      </c>
      <c r="V123" s="31" t="inlineStr">
        <is>
          <t>Negative</t>
        </is>
      </c>
      <c r="W123" s="32" t="inlineStr">
        <is>
          <t>-</t>
        </is>
      </c>
      <c r="X123" s="32" t="inlineStr">
        <is>
          <t>Creates its own application via fixture (independent; unique generated data).</t>
        </is>
      </c>
    </row>
    <row r="124" ht="35.05" customHeight="1" s="23">
      <c r="A124" s="31" t="inlineStr">
        <is>
          <t>TC-XC-01</t>
        </is>
      </c>
      <c r="B124" s="32" t="inlineStr">
        <is>
          <t>Smoke login and dashboard on Firefox and WebKit</t>
        </is>
      </c>
      <c r="C124" s="32" t="inlineStr">
        <is>
          <t>Cross-Cutting</t>
        </is>
      </c>
      <c r="D124" s="31" t="inlineStr">
        <is>
          <t>UI</t>
        </is>
      </c>
      <c r="E124" s="32" t="inlineStr">
        <is>
          <t>Risk QR-13 cross-browser</t>
        </is>
      </c>
      <c r="F124" s="32" t="inlineStr">
        <is>
          <t>QR-13</t>
        </is>
      </c>
      <c r="G124" s="32" t="inlineStr">
        <is>
          <t>Critical flow differs on another browser</t>
        </is>
      </c>
      <c r="H124" s="32" t="inlineStr">
        <is>
          <t>Playwright projects for firefox and webkit configured.</t>
        </is>
      </c>
      <c r="I124" s="32" t="inlineStr">
        <is>
          <t>1. Run @smoke auth and dashboard tests with --project=firefox and --project=webkit.</t>
        </is>
      </c>
      <c r="J124" s="32" t="inlineStr">
        <is>
          <t>VALID_AGENT</t>
        </is>
      </c>
      <c r="K124" s="32" t="inlineStr">
        <is>
          <t>Login and dashboard smoke pass on both browsers or differences are logged as browser defects.</t>
        </is>
      </c>
      <c r="L124" s="31" t="inlineStr">
        <is>
          <t>Medium</t>
        </is>
      </c>
      <c r="M124" s="31" t="inlineStr">
        <is>
          <t>P3</t>
        </is>
      </c>
      <c r="N124" s="31" t="n">
        <v>3</v>
      </c>
      <c r="O124" s="32" t="inlineStr">
        <is>
          <t>@smoke cross-browser</t>
        </is>
      </c>
      <c r="P124" s="32" t="inlineStr">
        <is>
          <t>HTML report per project</t>
        </is>
      </c>
      <c r="Q124" s="31" t="inlineStr">
        <is>
          <t>Automated</t>
        </is>
      </c>
      <c r="R124" s="32" t="inlineStr">
        <is>
          <t>tests/auth/login.spec.ts (projects)</t>
        </is>
      </c>
      <c r="S124" s="31" t="inlineStr">
        <is>
          <t>Not run</t>
        </is>
      </c>
      <c r="T124" s="32" t="n"/>
      <c r="U124" s="31" t="inlineStr">
        <is>
          <t>N</t>
        </is>
      </c>
      <c r="V124" s="31" t="inlineStr">
        <is>
          <t>Positive</t>
        </is>
      </c>
      <c r="W124" s="32" t="inlineStr">
        <is>
          <t>-</t>
        </is>
      </c>
      <c r="X124" s="32" t="inlineStr">
        <is>
          <t>Read-only (login only).</t>
        </is>
      </c>
    </row>
  </sheetData>
  <autoFilter ref="A1:X124"/>
  <conditionalFormatting sqref="L2:L174">
    <cfRule type="cellIs" rank="0" priority="2" equalAverage="0" operator="equal" aboveAverage="0" dxfId="7" text="" percent="0" bottom="0">
      <formula>"Critical"</formula>
    </cfRule>
    <cfRule type="cellIs" rank="0" priority="3" equalAverage="0" operator="equal" aboveAverage="0" dxfId="8" text="" percent="0" bottom="0">
      <formula>"High"</formula>
    </cfRule>
    <cfRule type="cellIs" rank="0" priority="4" equalAverage="0" operator="equal" aboveAverage="0" dxfId="9" text="" percent="0" bottom="0">
      <formula>"Medium"</formula>
    </cfRule>
    <cfRule type="cellIs" rank="0" priority="5" equalAverage="0" operator="equal" aboveAverage="0" dxfId="10" text="" percent="0" bottom="0">
      <formula>"Low"</formula>
    </cfRule>
  </conditionalFormatting>
  <conditionalFormatting sqref="S2:S174">
    <cfRule type="cellIs" rank="0" priority="6" equalAverage="0" operator="equal" aboveAverage="0" dxfId="11" text="" percent="0" bottom="0">
      <formula>"Pass"</formula>
    </cfRule>
    <cfRule type="cellIs" rank="0" priority="7" equalAverage="0" operator="equal" aboveAverage="0" dxfId="12" text="" percent="0" bottom="0">
      <formula>"Fail"</formula>
    </cfRule>
    <cfRule type="cellIs" rank="0" priority="8" equalAverage="0" operator="equal" aboveAverage="0" dxfId="13" text="" percent="0" bottom="0">
      <formula>"Blocked"</formula>
    </cfRule>
  </conditionalFormatting>
  <dataValidations count="7">
    <dataValidation sqref="L2:L174" showDropDown="0" showInputMessage="0" showErrorMessage="0" allowBlank="1" type="list" errorStyle="stop" operator="between">
      <formula1>"Critical,High,Medium,Low"</formula1>
      <formula2>0</formula2>
    </dataValidation>
    <dataValidation sqref="M2:M174" showDropDown="0" showInputMessage="0" showErrorMessage="0" allowBlank="1" type="list" errorStyle="stop" operator="between">
      <formula1>"P1,P2,P3"</formula1>
      <formula2>0</formula2>
    </dataValidation>
    <dataValidation sqref="N2:N174" showDropDown="0" showInputMessage="0" showErrorMessage="0" allowBlank="1" type="list" errorStyle="stop" operator="between">
      <formula1>"1,2,3"</formula1>
      <formula2>0</formula2>
    </dataValidation>
    <dataValidation sqref="Q2:Q174" showDropDown="0" showInputMessage="0" showErrorMessage="0" allowBlank="1" type="list" errorStyle="stop" operator="between">
      <formula1>"Not started,In progress,Automated,Manual only,Blocked,Not applicable"</formula1>
      <formula2>0</formula2>
    </dataValidation>
    <dataValidation sqref="S2:S174" showDropDown="0" showInputMessage="0" showErrorMessage="0" allowBlank="1" type="list" errorStyle="stop" operator="between">
      <formula1>"Not run,Pass,Fail,Blocked,Skipped"</formula1>
      <formula2>0</formula2>
    </dataValidation>
    <dataValidation sqref="U2:U174" showDropDown="0" showInputMessage="0" showErrorMessage="0" allowBlank="1" type="list" errorStyle="stop" operator="between">
      <formula1>"Y,N"</formula1>
      <formula2>0</formula2>
    </dataValidation>
    <dataValidation sqref="V2:V174" showDropDown="0" showInputMessage="0" showErrorMessage="0" allowBlank="1" type="list" errorStyle="stop" operator="between">
      <formula1>"Positive,Negative,Boundary"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22" min="1" max="1"/>
    <col width="18" customWidth="1" style="22" min="2" max="2"/>
    <col width="16" customWidth="1" style="22" min="3" max="3"/>
    <col width="14" customWidth="1" style="22" min="4" max="4"/>
    <col width="11" customWidth="1" style="22" min="5" max="5"/>
    <col width="14" customWidth="1" style="22" min="6" max="6"/>
    <col width="20" customWidth="1" style="22" min="7" max="7"/>
    <col width="14" customWidth="1" style="22" min="8" max="8"/>
  </cols>
  <sheetData>
    <row r="1" ht="17.35" customHeight="1" s="23">
      <c r="A1" s="24" t="inlineStr">
        <is>
          <t>Coverage by Module vs Minimum Automation Coverage</t>
        </is>
      </c>
    </row>
    <row r="2" ht="15" customHeight="1" s="23">
      <c r="A2" s="28" t="inlineStr">
        <is>
          <t>Minimums are from 'Submissions and Evaluations' section 5.5 (blue = hard-coded input from the source document). Counts are live formulas on the Test Cases sheet.</t>
        </is>
      </c>
    </row>
    <row r="4" ht="43.5" customHeight="1" s="23">
      <c r="A4" s="30" t="inlineStr">
        <is>
          <t>Module</t>
        </is>
      </c>
      <c r="B4" s="30" t="inlineStr">
        <is>
          <t>Minimum Required (60-test target)</t>
        </is>
      </c>
      <c r="C4" s="30" t="inlineStr">
        <is>
          <t>Planned Test Cases</t>
        </is>
      </c>
      <c r="D4" s="30" t="inlineStr">
        <is>
          <t>Wave 1 (Smoke)</t>
        </is>
      </c>
      <c r="E4" s="30" t="inlineStr">
        <is>
          <t>P1 Cases</t>
        </is>
      </c>
      <c r="F4" s="30" t="inlineStr">
        <is>
          <t>Critical Severity</t>
        </is>
      </c>
      <c r="G4" s="30" t="inlineStr">
        <is>
          <t>Surplus / (Gap) vs Minimum</t>
        </is>
      </c>
      <c r="H4" s="30" t="inlineStr">
        <is>
          <t>Status</t>
        </is>
      </c>
    </row>
    <row r="5" ht="15" customHeight="1" s="23">
      <c r="A5" s="33" t="inlineStr">
        <is>
          <t>Authentication</t>
        </is>
      </c>
      <c r="B5" s="34" t="n">
        <v>6</v>
      </c>
      <c r="C5" s="35">
        <f>COUNTIF('Test Cases'!$C$2:$C$174,A5)</f>
        <v/>
      </c>
      <c r="D5" s="35">
        <f>COUNTIFS('Test Cases'!$C$2:$C$174,A5,'Test Cases'!$N$2:$N$174,1)</f>
        <v/>
      </c>
      <c r="E5" s="35">
        <f>COUNTIFS('Test Cases'!$C$2:$C$174,A5,'Test Cases'!$M$2:$M$174,"P1")</f>
        <v/>
      </c>
      <c r="F5" s="35">
        <f>COUNTIFS('Test Cases'!$C$2:$C$174,A5,'Test Cases'!$L$2:$L$174,"Critical")</f>
        <v/>
      </c>
      <c r="G5" s="35">
        <f>C5-B5</f>
        <v/>
      </c>
      <c r="H5" s="35">
        <f>IF(C5&gt;=B5,"Meets minimum","GAP")</f>
        <v/>
      </c>
    </row>
    <row r="6" ht="15" customHeight="1" s="23">
      <c r="A6" s="33" t="inlineStr">
        <is>
          <t>Dashboard</t>
        </is>
      </c>
      <c r="B6" s="34" t="n">
        <v>4</v>
      </c>
      <c r="C6" s="35">
        <f>COUNTIF('Test Cases'!$C$2:$C$174,A6)</f>
        <v/>
      </c>
      <c r="D6" s="35">
        <f>COUNTIFS('Test Cases'!$C$2:$C$174,A6,'Test Cases'!$N$2:$N$174,1)</f>
        <v/>
      </c>
      <c r="E6" s="35">
        <f>COUNTIFS('Test Cases'!$C$2:$C$174,A6,'Test Cases'!$M$2:$M$174,"P1")</f>
        <v/>
      </c>
      <c r="F6" s="35">
        <f>COUNTIFS('Test Cases'!$C$2:$C$174,A6,'Test Cases'!$L$2:$L$174,"Critical")</f>
        <v/>
      </c>
      <c r="G6" s="35">
        <f>C6-B6</f>
        <v/>
      </c>
      <c r="H6" s="35">
        <f>IF(C6&gt;=B6,"Meets minimum","GAP")</f>
        <v/>
      </c>
    </row>
    <row r="7" ht="15" customHeight="1" s="23">
      <c r="A7" s="33" t="inlineStr">
        <is>
          <t>Client Information</t>
        </is>
      </c>
      <c r="B7" s="34" t="n">
        <v>8</v>
      </c>
      <c r="C7" s="35">
        <f>COUNTIF('Test Cases'!$C$2:$C$174,A7)</f>
        <v/>
      </c>
      <c r="D7" s="35">
        <f>COUNTIFS('Test Cases'!$C$2:$C$174,A7,'Test Cases'!$N$2:$N$174,1)</f>
        <v/>
      </c>
      <c r="E7" s="35">
        <f>COUNTIFS('Test Cases'!$C$2:$C$174,A7,'Test Cases'!$M$2:$M$174,"P1")</f>
        <v/>
      </c>
      <c r="F7" s="35">
        <f>COUNTIFS('Test Cases'!$C$2:$C$174,A7,'Test Cases'!$L$2:$L$174,"Critical")</f>
        <v/>
      </c>
      <c r="G7" s="35">
        <f>C7-B7</f>
        <v/>
      </c>
      <c r="H7" s="35">
        <f>IF(C7&gt;=B7,"Meets minimum","GAP")</f>
        <v/>
      </c>
    </row>
    <row r="8" ht="15" customHeight="1" s="23">
      <c r="A8" s="33" t="inlineStr">
        <is>
          <t>Address &amp; Contact</t>
        </is>
      </c>
      <c r="B8" s="34" t="n">
        <v>5</v>
      </c>
      <c r="C8" s="35">
        <f>COUNTIF('Test Cases'!$C$2:$C$174,A8)</f>
        <v/>
      </c>
      <c r="D8" s="35">
        <f>COUNTIFS('Test Cases'!$C$2:$C$174,A8,'Test Cases'!$N$2:$N$174,1)</f>
        <v/>
      </c>
      <c r="E8" s="35">
        <f>COUNTIFS('Test Cases'!$C$2:$C$174,A8,'Test Cases'!$M$2:$M$174,"P1")</f>
        <v/>
      </c>
      <c r="F8" s="35">
        <f>COUNTIFS('Test Cases'!$C$2:$C$174,A8,'Test Cases'!$L$2:$L$174,"Critical")</f>
        <v/>
      </c>
      <c r="G8" s="35">
        <f>C8-B8</f>
        <v/>
      </c>
      <c r="H8" s="35">
        <f>IF(C8&gt;=B8,"Meets minimum","GAP")</f>
        <v/>
      </c>
    </row>
    <row r="9" ht="15" customHeight="1" s="23">
      <c r="A9" s="33" t="inlineStr">
        <is>
          <t>KYC &amp; Financial</t>
        </is>
      </c>
      <c r="B9" s="34" t="n">
        <v>6</v>
      </c>
      <c r="C9" s="35">
        <f>COUNTIF('Test Cases'!$C$2:$C$174,A9)</f>
        <v/>
      </c>
      <c r="D9" s="35">
        <f>COUNTIFS('Test Cases'!$C$2:$C$174,A9,'Test Cases'!$N$2:$N$174,1)</f>
        <v/>
      </c>
      <c r="E9" s="35">
        <f>COUNTIFS('Test Cases'!$C$2:$C$174,A9,'Test Cases'!$M$2:$M$174,"P1")</f>
        <v/>
      </c>
      <c r="F9" s="35">
        <f>COUNTIFS('Test Cases'!$C$2:$C$174,A9,'Test Cases'!$L$2:$L$174,"Critical")</f>
        <v/>
      </c>
      <c r="G9" s="35">
        <f>C9-B9</f>
        <v/>
      </c>
      <c r="H9" s="35">
        <f>IF(C9&gt;=B9,"Meets minimum","GAP")</f>
        <v/>
      </c>
    </row>
    <row r="10" ht="15" customHeight="1" s="23">
      <c r="A10" s="33" t="inlineStr">
        <is>
          <t>Product &amp; Policy</t>
        </is>
      </c>
      <c r="B10" s="34" t="n">
        <v>6</v>
      </c>
      <c r="C10" s="35">
        <f>COUNTIF('Test Cases'!$C$2:$C$174,A10)</f>
        <v/>
      </c>
      <c r="D10" s="35">
        <f>COUNTIFS('Test Cases'!$C$2:$C$174,A10,'Test Cases'!$N$2:$N$174,1)</f>
        <v/>
      </c>
      <c r="E10" s="35">
        <f>COUNTIFS('Test Cases'!$C$2:$C$174,A10,'Test Cases'!$M$2:$M$174,"P1")</f>
        <v/>
      </c>
      <c r="F10" s="35">
        <f>COUNTIFS('Test Cases'!$C$2:$C$174,A10,'Test Cases'!$L$2:$L$174,"Critical")</f>
        <v/>
      </c>
      <c r="G10" s="35">
        <f>C10-B10</f>
        <v/>
      </c>
      <c r="H10" s="35">
        <f>IF(C10&gt;=B10,"Meets minimum","GAP")</f>
        <v/>
      </c>
    </row>
    <row r="11" ht="15" customHeight="1" s="23">
      <c r="A11" s="33" t="inlineStr">
        <is>
          <t>Riders</t>
        </is>
      </c>
      <c r="B11" s="34" t="n">
        <v>5</v>
      </c>
      <c r="C11" s="35">
        <f>COUNTIF('Test Cases'!$C$2:$C$174,A11)</f>
        <v/>
      </c>
      <c r="D11" s="35">
        <f>COUNTIFS('Test Cases'!$C$2:$C$174,A11,'Test Cases'!$N$2:$N$174,1)</f>
        <v/>
      </c>
      <c r="E11" s="35">
        <f>COUNTIFS('Test Cases'!$C$2:$C$174,A11,'Test Cases'!$M$2:$M$174,"P1")</f>
        <v/>
      </c>
      <c r="F11" s="35">
        <f>COUNTIFS('Test Cases'!$C$2:$C$174,A11,'Test Cases'!$L$2:$L$174,"Critical")</f>
        <v/>
      </c>
      <c r="G11" s="35">
        <f>C11-B11</f>
        <v/>
      </c>
      <c r="H11" s="35">
        <f>IF(C11&gt;=B11,"Meets minimum","GAP")</f>
        <v/>
      </c>
    </row>
    <row r="12" ht="15" customHeight="1" s="23">
      <c r="A12" s="33" t="inlineStr">
        <is>
          <t>Beneficiaries</t>
        </is>
      </c>
      <c r="B12" s="34" t="n">
        <v>7</v>
      </c>
      <c r="C12" s="35">
        <f>COUNTIF('Test Cases'!$C$2:$C$174,A12)</f>
        <v/>
      </c>
      <c r="D12" s="35">
        <f>COUNTIFS('Test Cases'!$C$2:$C$174,A12,'Test Cases'!$N$2:$N$174,1)</f>
        <v/>
      </c>
      <c r="E12" s="35">
        <f>COUNTIFS('Test Cases'!$C$2:$C$174,A12,'Test Cases'!$M$2:$M$174,"P1")</f>
        <v/>
      </c>
      <c r="F12" s="35">
        <f>COUNTIFS('Test Cases'!$C$2:$C$174,A12,'Test Cases'!$L$2:$L$174,"Critical")</f>
        <v/>
      </c>
      <c r="G12" s="35">
        <f>C12-B12</f>
        <v/>
      </c>
      <c r="H12" s="35">
        <f>IF(C12&gt;=B12,"Meets minimum","GAP")</f>
        <v/>
      </c>
    </row>
    <row r="13" ht="15" customHeight="1" s="23">
      <c r="A13" s="33" t="inlineStr">
        <is>
          <t>Documents &amp; Validation</t>
        </is>
      </c>
      <c r="B13" s="34" t="n">
        <v>4</v>
      </c>
      <c r="C13" s="35">
        <f>COUNTIF('Test Cases'!$C$2:$C$174,A13)</f>
        <v/>
      </c>
      <c r="D13" s="35">
        <f>COUNTIFS('Test Cases'!$C$2:$C$174,A13,'Test Cases'!$N$2:$N$174,1)</f>
        <v/>
      </c>
      <c r="E13" s="35">
        <f>COUNTIFS('Test Cases'!$C$2:$C$174,A13,'Test Cases'!$M$2:$M$174,"P1")</f>
        <v/>
      </c>
      <c r="F13" s="35">
        <f>COUNTIFS('Test Cases'!$C$2:$C$174,A13,'Test Cases'!$L$2:$L$174,"Critical")</f>
        <v/>
      </c>
      <c r="G13" s="35">
        <f>C13-B13</f>
        <v/>
      </c>
      <c r="H13" s="35">
        <f>IF(C13&gt;=B13,"Meets minimum","GAP")</f>
        <v/>
      </c>
    </row>
    <row r="14" ht="15" customHeight="1" s="23">
      <c r="A14" s="33" t="inlineStr">
        <is>
          <t>Submission &amp; Status</t>
        </is>
      </c>
      <c r="B14" s="34" t="n">
        <v>5</v>
      </c>
      <c r="C14" s="35">
        <f>COUNTIF('Test Cases'!$C$2:$C$174,A14)</f>
        <v/>
      </c>
      <c r="D14" s="35">
        <f>COUNTIFS('Test Cases'!$C$2:$C$174,A14,'Test Cases'!$N$2:$N$174,1)</f>
        <v/>
      </c>
      <c r="E14" s="35">
        <f>COUNTIFS('Test Cases'!$C$2:$C$174,A14,'Test Cases'!$M$2:$M$174,"P1")</f>
        <v/>
      </c>
      <c r="F14" s="35">
        <f>COUNTIFS('Test Cases'!$C$2:$C$174,A14,'Test Cases'!$L$2:$L$174,"Critical")</f>
        <v/>
      </c>
      <c r="G14" s="35">
        <f>C14-B14</f>
        <v/>
      </c>
      <c r="H14" s="35">
        <f>IF(C14&gt;=B14,"Meets minimum","GAP")</f>
        <v/>
      </c>
    </row>
    <row r="15" ht="15" customHeight="1" s="23">
      <c r="A15" s="33" t="inlineStr">
        <is>
          <t>API</t>
        </is>
      </c>
      <c r="B15" s="34" t="n">
        <v>8</v>
      </c>
      <c r="C15" s="35">
        <f>COUNTIF('Test Cases'!$C$2:$C$174,A15)</f>
        <v/>
      </c>
      <c r="D15" s="35">
        <f>COUNTIFS('Test Cases'!$C$2:$C$174,A15,'Test Cases'!$N$2:$N$174,1)</f>
        <v/>
      </c>
      <c r="E15" s="35">
        <f>COUNTIFS('Test Cases'!$C$2:$C$174,A15,'Test Cases'!$M$2:$M$174,"P1")</f>
        <v/>
      </c>
      <c r="F15" s="35">
        <f>COUNTIFS('Test Cases'!$C$2:$C$174,A15,'Test Cases'!$L$2:$L$174,"Critical")</f>
        <v/>
      </c>
      <c r="G15" s="35">
        <f>C15-B15</f>
        <v/>
      </c>
      <c r="H15" s="35">
        <f>IF(C15&gt;=B15,"Meets minimum","GAP")</f>
        <v/>
      </c>
    </row>
    <row r="16" ht="15" customHeight="1" s="23">
      <c r="A16" s="33" t="inlineStr">
        <is>
          <t>Cross-Cutting</t>
        </is>
      </c>
      <c r="B16" s="34" t="n">
        <v>0</v>
      </c>
      <c r="C16" s="35">
        <f>COUNTIF('Test Cases'!$C$2:$C$174,A16)</f>
        <v/>
      </c>
      <c r="D16" s="35">
        <f>COUNTIFS('Test Cases'!$C$2:$C$174,A16,'Test Cases'!$N$2:$N$174,1)</f>
        <v/>
      </c>
      <c r="E16" s="35">
        <f>COUNTIFS('Test Cases'!$C$2:$C$174,A16,'Test Cases'!$M$2:$M$174,"P1")</f>
        <v/>
      </c>
      <c r="F16" s="35">
        <f>COUNTIFS('Test Cases'!$C$2:$C$174,A16,'Test Cases'!$L$2:$L$174,"Critical")</f>
        <v/>
      </c>
      <c r="G16" s="35">
        <f>C16-B16</f>
        <v/>
      </c>
      <c r="H16" s="35">
        <f>IF(C16&gt;=B16,"Meets minimum","GAP")</f>
        <v/>
      </c>
    </row>
    <row r="17" ht="15" customHeight="1" s="23">
      <c r="A17" s="36" t="inlineStr">
        <is>
          <t>TOTAL</t>
        </is>
      </c>
      <c r="B17" s="37">
        <f>SUM(B5:B16)</f>
        <v/>
      </c>
      <c r="C17" s="37">
        <f>SUM(C5:C16)</f>
        <v/>
      </c>
      <c r="D17" s="37">
        <f>SUM(D5:D16)</f>
        <v/>
      </c>
      <c r="E17" s="37">
        <f>SUM(E5:E16)</f>
        <v/>
      </c>
      <c r="F17" s="37">
        <f>SUM(F5:F16)</f>
        <v/>
      </c>
      <c r="G17" s="37">
        <f>SUM(G5:G16)</f>
        <v/>
      </c>
      <c r="H17" s="37">
        <f>IF(C17&gt;=B17,"Meets 60","Below 60")</f>
        <v/>
      </c>
    </row>
    <row r="19" ht="15" customHeight="1" s="23">
      <c r="A19" s="25" t="inlineStr">
        <is>
          <t>Reduced-scope option</t>
        </is>
      </c>
    </row>
    <row r="20" ht="15" customHeight="1" s="23">
      <c r="A20" s="28" t="inlineStr">
        <is>
          <t>Short-cohort set (30-35 tests): Wave 1 + all Critical cases + 5 extras (lockout, rider rules, premium) so auth, one E2E, allocation, rider rules, API and reporting stay covered. Count flagged 'Y':</t>
        </is>
      </c>
      <c r="D20" s="28">
        <f>COUNTIF('Test Cases'!$U$2:$U$174,"Y")</f>
        <v/>
      </c>
    </row>
    <row r="21" ht="15" customHeight="1" s="23">
      <c r="A21" s="28" t="inlineStr">
        <is>
          <t>Wave 1 (smoke) cases:</t>
        </is>
      </c>
      <c r="D21" s="28">
        <f>COUNTIF('Test Cases'!$N$2:$N$174,1)</f>
        <v/>
      </c>
    </row>
    <row r="23" ht="15" customHeight="1" s="23">
      <c r="A23" s="25" t="inlineStr">
        <is>
          <t>Automation progress</t>
        </is>
      </c>
    </row>
    <row r="24" ht="15" customHeight="1" s="23">
      <c r="A24" s="28" t="inlineStr">
        <is>
          <t>Not started</t>
        </is>
      </c>
      <c r="D24" s="28">
        <f>COUNTIF('Test Cases'!$Q$2:$Q$174,A24)</f>
        <v/>
      </c>
    </row>
    <row r="25" ht="15" customHeight="1" s="23">
      <c r="A25" s="28" t="inlineStr">
        <is>
          <t>In progress</t>
        </is>
      </c>
      <c r="D25" s="28">
        <f>COUNTIF('Test Cases'!$Q$2:$Q$174,A25)</f>
        <v/>
      </c>
    </row>
    <row r="26" ht="15" customHeight="1" s="23">
      <c r="A26" s="28" t="inlineStr">
        <is>
          <t>Automated</t>
        </is>
      </c>
      <c r="D26" s="28">
        <f>COUNTIF('Test Cases'!$Q$2:$Q$174,A26)</f>
        <v/>
      </c>
    </row>
    <row r="27" ht="15" customHeight="1" s="23">
      <c r="A27" s="28" t="inlineStr">
        <is>
          <t>Manual only</t>
        </is>
      </c>
      <c r="D27" s="28">
        <f>COUNTIF('Test Cases'!$Q$2:$Q$174,A27)</f>
        <v/>
      </c>
    </row>
    <row r="28" ht="15" customHeight="1" s="23">
      <c r="A28" s="28" t="inlineStr">
        <is>
          <t>Blocked</t>
        </is>
      </c>
      <c r="D28" s="28">
        <f>COUNTIF('Test Cases'!$Q$2:$Q$174,A28)</f>
        <v/>
      </c>
    </row>
    <row r="29" ht="15" customHeight="1" s="23">
      <c r="A29" s="28" t="inlineStr">
        <is>
          <t>Not applicable</t>
        </is>
      </c>
      <c r="D29" s="28">
        <f>COUNTIF('Test Cases'!$Q$2:$Q$174,A29)</f>
        <v/>
      </c>
    </row>
    <row r="31" ht="15" customHeight="1" s="23">
      <c r="A31" s="25" t="inlineStr">
        <is>
          <t>Test type split</t>
        </is>
      </c>
    </row>
    <row r="32" ht="15" customHeight="1" s="23">
      <c r="A32" s="28" t="inlineStr">
        <is>
          <t>UI</t>
        </is>
      </c>
      <c r="D32" s="28">
        <f>COUNTIF('Test Cases'!$D$2:$D$174,A32)</f>
        <v/>
      </c>
    </row>
    <row r="33" ht="15" customHeight="1" s="23">
      <c r="A33" s="28" t="inlineStr">
        <is>
          <t>API</t>
        </is>
      </c>
      <c r="D33" s="28">
        <f>COUNTIF('Test Cases'!$D$2:$D$174,A33)</f>
        <v/>
      </c>
    </row>
    <row r="34" ht="15" customHeight="1" s="23">
      <c r="A34" s="28" t="inlineStr">
        <is>
          <t>E2E</t>
        </is>
      </c>
      <c r="D34" s="28">
        <f>COUNTIF('Test Cases'!$D$2:$D$174,A34)</f>
        <v/>
      </c>
    </row>
    <row r="36" ht="15" customHeight="1" s="23">
      <c r="A36" s="25" t="inlineStr">
        <is>
          <t>Scenario mix (guards against happy-path-only suites)</t>
        </is>
      </c>
    </row>
    <row r="37" ht="15" customHeight="1" s="23">
      <c r="A37" s="28" t="inlineStr">
        <is>
          <t>Positive</t>
        </is>
      </c>
      <c r="D37" s="28">
        <f>COUNTIF('Test Cases'!$V$2:$V$174,A37)</f>
        <v/>
      </c>
      <c r="E37" s="38">
        <f>D37/SUM($D$37:$D$39)</f>
        <v/>
      </c>
    </row>
    <row r="38" ht="15" customHeight="1" s="23">
      <c r="A38" s="28" t="inlineStr">
        <is>
          <t>Negative</t>
        </is>
      </c>
      <c r="D38" s="28">
        <f>COUNTIF('Test Cases'!$V$2:$V$174,A38)</f>
        <v/>
      </c>
      <c r="E38" s="38">
        <f>D38/SUM($D$37:$D$39)</f>
        <v/>
      </c>
    </row>
    <row r="39" ht="15" customHeight="1" s="23">
      <c r="A39" s="28" t="inlineStr">
        <is>
          <t>Boundary</t>
        </is>
      </c>
      <c r="D39" s="28">
        <f>COUNTIF('Test Cases'!$V$2:$V$174,A39)</f>
        <v/>
      </c>
      <c r="E39" s="38">
        <f>D39/SUM($D$37:$D$39)</f>
        <v/>
      </c>
    </row>
    <row r="40" ht="15" customHeight="1" s="23">
      <c r="A40" s="25" t="inlineStr">
        <is>
          <t>Negative + Boundary share (target: at least 50%)</t>
        </is>
      </c>
      <c r="D40" s="39">
        <f>(D38+D39)/SUM(D37:D39)</f>
        <v/>
      </c>
    </row>
  </sheetData>
  <conditionalFormatting sqref="H5:H17">
    <cfRule type="expression" rank="0" priority="2" equalAverage="0" aboveAverage="0" dxfId="12" text="" percent="0" bottom="0">
      <formula>LEFT(H5,3)="GAP"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2" min="1" max="1"/>
    <col width="18" customWidth="1" style="22" min="2" max="2"/>
    <col width="62" customWidth="1" style="22" min="3" max="3"/>
    <col width="11" customWidth="1" style="22" min="4" max="4"/>
    <col width="13" customWidth="1" style="22" min="5" max="5"/>
    <col width="20" customWidth="1" style="22" min="6" max="6"/>
  </cols>
  <sheetData>
    <row r="1" ht="17.35" customHeight="1" s="23">
      <c r="A1" s="24" t="inlineStr">
        <is>
          <t>Traceability: Submission 1 Risk Register (QR-01..QR-14) to Test Cases</t>
        </is>
      </c>
    </row>
    <row r="3" ht="15" customHeight="1" s="23">
      <c r="A3" s="30" t="inlineStr">
        <is>
          <t>Risk ID</t>
        </is>
      </c>
      <c r="B3" s="30" t="inlineStr">
        <is>
          <t>Area</t>
        </is>
      </c>
      <c r="C3" s="30" t="inlineStr">
        <is>
          <t>Risk (from Submission 1)</t>
        </is>
      </c>
      <c r="D3" s="30" t="inlineStr">
        <is>
          <t>Priority</t>
        </is>
      </c>
      <c r="E3" s="30" t="inlineStr">
        <is>
          <t># Test Cases</t>
        </is>
      </c>
      <c r="F3" s="30" t="inlineStr">
        <is>
          <t>Coverage</t>
        </is>
      </c>
    </row>
    <row r="4" ht="15" customHeight="1" s="23">
      <c r="A4" s="32" t="inlineStr">
        <is>
          <t>QR-01</t>
        </is>
      </c>
      <c r="B4" s="32" t="inlineStr">
        <is>
          <t>Authentication</t>
        </is>
      </c>
      <c r="C4" s="32" t="inlineStr">
        <is>
          <t>Unauthorized protected-route or API access</t>
        </is>
      </c>
      <c r="D4" s="32" t="inlineStr">
        <is>
          <t>Critical</t>
        </is>
      </c>
      <c r="E4" s="31">
        <f>COUNTIF('Test Cases'!$F$2:$F$174,"*"&amp;A4&amp;"*")</f>
        <v/>
      </c>
      <c r="F4" s="31">
        <f>IF(E4&gt;0,"Covered by test cases",IF(OR(A4="QR-11",A4="QR-12",A4="QR-13",A4="QR-14"),"Covered by framework/config","GAP"))</f>
        <v/>
      </c>
    </row>
    <row r="5" ht="15" customHeight="1" s="23">
      <c r="A5" s="32" t="inlineStr">
        <is>
          <t>QR-02</t>
        </is>
      </c>
      <c r="B5" s="32" t="inlineStr">
        <is>
          <t>Dashboard</t>
        </is>
      </c>
      <c r="C5" s="32" t="inlineStr">
        <is>
          <t>Cross-agent data exposure or incorrect status</t>
        </is>
      </c>
      <c r="D5" s="32" t="inlineStr">
        <is>
          <t>Critical</t>
        </is>
      </c>
      <c r="E5" s="31">
        <f>COUNTIF('Test Cases'!$F$2:$F$174,"*"&amp;A5&amp;"*")</f>
        <v/>
      </c>
      <c r="F5" s="31">
        <f>IF(E5&gt;0,"Covered by test cases",IF(OR(A5="QR-11",A5="QR-12",A5="QR-13",A5="QR-14"),"Covered by framework/config","GAP"))</f>
        <v/>
      </c>
    </row>
    <row r="6" ht="15" customHeight="1" s="23">
      <c r="A6" s="32" t="inlineStr">
        <is>
          <t>QR-03</t>
        </is>
      </c>
      <c r="B6" s="32" t="inlineStr">
        <is>
          <t>Client</t>
        </is>
      </c>
      <c r="C6" s="32" t="inlineStr">
        <is>
          <t>DOB boundary or age calculation failure</t>
        </is>
      </c>
      <c r="D6" s="32" t="inlineStr">
        <is>
          <t>Critical</t>
        </is>
      </c>
      <c r="E6" s="31">
        <f>COUNTIF('Test Cases'!$F$2:$F$174,"*"&amp;A6&amp;"*")</f>
        <v/>
      </c>
      <c r="F6" s="31">
        <f>IF(E6&gt;0,"Covered by test cases",IF(OR(A6="QR-11",A6="QR-12",A6="QR-13",A6="QR-14"),"Covered by framework/config","GAP"))</f>
        <v/>
      </c>
    </row>
    <row r="7" ht="15" customHeight="1" s="23">
      <c r="A7" s="32" t="inlineStr">
        <is>
          <t>QR-04</t>
        </is>
      </c>
      <c r="B7" s="32" t="inlineStr">
        <is>
          <t>KYC/Compliance</t>
        </is>
      </c>
      <c r="C7" s="32" t="inlineStr">
        <is>
          <t>Sensitive ID exposure or mandatory evidence bypass</t>
        </is>
      </c>
      <c r="D7" s="32" t="inlineStr">
        <is>
          <t>Critical</t>
        </is>
      </c>
      <c r="E7" s="31">
        <f>COUNTIF('Test Cases'!$F$2:$F$174,"*"&amp;A7&amp;"*")</f>
        <v/>
      </c>
      <c r="F7" s="31">
        <f>IF(E7&gt;0,"Covered by test cases",IF(OR(A7="QR-11",A7="QR-12",A7="QR-13",A7="QR-14"),"Covered by framework/config","GAP"))</f>
        <v/>
      </c>
    </row>
    <row r="8" ht="15" customHeight="1" s="23">
      <c r="A8" s="32" t="inlineStr">
        <is>
          <t>QR-05</t>
        </is>
      </c>
      <c r="B8" s="32" t="inlineStr">
        <is>
          <t>Product/Premium</t>
        </is>
      </c>
      <c r="C8" s="32" t="inlineStr">
        <is>
          <t>Invalid configuration or inconsistent premium</t>
        </is>
      </c>
      <c r="D8" s="32" t="inlineStr">
        <is>
          <t>Critical</t>
        </is>
      </c>
      <c r="E8" s="31">
        <f>COUNTIF('Test Cases'!$F$2:$F$174,"*"&amp;A8&amp;"*")</f>
        <v/>
      </c>
      <c r="F8" s="31">
        <f>IF(E8&gt;0,"Covered by test cases",IF(OR(A8="QR-11",A8="QR-12",A8="QR-13",A8="QR-14"),"Covered by framework/config","GAP"))</f>
        <v/>
      </c>
    </row>
    <row r="9" ht="15" customHeight="1" s="23">
      <c r="A9" s="32" t="inlineStr">
        <is>
          <t>QR-06</t>
        </is>
      </c>
      <c r="B9" s="32" t="inlineStr">
        <is>
          <t>Riders</t>
        </is>
      </c>
      <c r="C9" s="32" t="inlineStr">
        <is>
          <t>Eligibility, coverage, count or exclusion rule bypass</t>
        </is>
      </c>
      <c r="D9" s="32" t="inlineStr">
        <is>
          <t>Critical</t>
        </is>
      </c>
      <c r="E9" s="31">
        <f>COUNTIF('Test Cases'!$F$2:$F$174,"*"&amp;A9&amp;"*")</f>
        <v/>
      </c>
      <c r="F9" s="31">
        <f>IF(E9&gt;0,"Covered by test cases",IF(OR(A9="QR-11",A9="QR-12",A9="QR-13",A9="QR-14"),"Covered by framework/config","GAP"))</f>
        <v/>
      </c>
    </row>
    <row r="10" ht="15" customHeight="1" s="23">
      <c r="A10" s="32" t="inlineStr">
        <is>
          <t>QR-07</t>
        </is>
      </c>
      <c r="B10" s="32" t="inlineStr">
        <is>
          <t>Beneficiaries</t>
        </is>
      </c>
      <c r="C10" s="32" t="inlineStr">
        <is>
          <t>Invalid allocation, duplicate or missing guardian accepted</t>
        </is>
      </c>
      <c r="D10" s="32" t="inlineStr">
        <is>
          <t>Critical</t>
        </is>
      </c>
      <c r="E10" s="31">
        <f>COUNTIF('Test Cases'!$F$2:$F$174,"*"&amp;A10&amp;"*")</f>
        <v/>
      </c>
      <c r="F10" s="31">
        <f>IF(E10&gt;0,"Covered by test cases",IF(OR(A10="QR-11",A10="QR-12",A10="QR-13",A10="QR-14"),"Covered by framework/config","GAP"))</f>
        <v/>
      </c>
    </row>
    <row r="11" ht="15" customHeight="1" s="23">
      <c r="A11" s="32" t="inlineStr">
        <is>
          <t>QR-08</t>
        </is>
      </c>
      <c r="B11" s="32" t="inlineStr">
        <is>
          <t>Documents/Review</t>
        </is>
      </c>
      <c r="C11" s="32" t="inlineStr">
        <is>
          <t>Invalid upload or stale validation summary</t>
        </is>
      </c>
      <c r="D11" s="32" t="inlineStr">
        <is>
          <t>High</t>
        </is>
      </c>
      <c r="E11" s="31">
        <f>COUNTIF('Test Cases'!$F$2:$F$174,"*"&amp;A11&amp;"*")</f>
        <v/>
      </c>
      <c r="F11" s="31">
        <f>IF(E11&gt;0,"Covered by test cases",IF(OR(A11="QR-11",A11="QR-12",A11="QR-13",A11="QR-14"),"Covered by framework/config","GAP"))</f>
        <v/>
      </c>
    </row>
    <row r="12" ht="15" customHeight="1" s="23">
      <c r="A12" s="32" t="inlineStr">
        <is>
          <t>QR-09</t>
        </is>
      </c>
      <c r="B12" s="32" t="inlineStr">
        <is>
          <t>Submission</t>
        </is>
      </c>
      <c r="C12" s="32" t="inlineStr">
        <is>
          <t>Incomplete case submits or reference/state is wrong</t>
        </is>
      </c>
      <c r="D12" s="32" t="inlineStr">
        <is>
          <t>Critical</t>
        </is>
      </c>
      <c r="E12" s="31">
        <f>COUNTIF('Test Cases'!$F$2:$F$174,"*"&amp;A12&amp;"*")</f>
        <v/>
      </c>
      <c r="F12" s="31">
        <f>IF(E12&gt;0,"Covered by test cases",IF(OR(A12="QR-11",A12="QR-12",A12="QR-13",A12="QR-14"),"Covered by framework/config","GAP"))</f>
        <v/>
      </c>
    </row>
    <row r="13" ht="15" customHeight="1" s="23">
      <c r="A13" s="32" t="inlineStr">
        <is>
          <t>QR-10</t>
        </is>
      </c>
      <c r="B13" s="32" t="inlineStr">
        <is>
          <t>Persistence</t>
        </is>
      </c>
      <c r="C13" s="32" t="inlineStr">
        <is>
          <t>Draft or submitted values not saved accurately</t>
        </is>
      </c>
      <c r="D13" s="32" t="inlineStr">
        <is>
          <t>High</t>
        </is>
      </c>
      <c r="E13" s="31">
        <f>COUNTIF('Test Cases'!$F$2:$F$174,"*"&amp;A13&amp;"*")</f>
        <v/>
      </c>
      <c r="F13" s="31">
        <f>IF(E13&gt;0,"Covered by test cases",IF(OR(A13="QR-11",A13="QR-12",A13="QR-13",A13="QR-14"),"Covered by framework/config","GAP"))</f>
        <v/>
      </c>
    </row>
    <row r="14" ht="23.85" customHeight="1" s="23">
      <c r="A14" s="32" t="inlineStr">
        <is>
          <t>QR-11</t>
        </is>
      </c>
      <c r="B14" s="32" t="inlineStr">
        <is>
          <t>Automation</t>
        </is>
      </c>
      <c r="C14" s="32" t="inlineStr">
        <is>
          <t>Flaky checks or weak evidence hides true result</t>
        </is>
      </c>
      <c r="D14" s="32" t="inlineStr">
        <is>
          <t>Medium</t>
        </is>
      </c>
      <c r="E14" s="31">
        <f>COUNTIF('Test Cases'!$F$2:$F$174,"*"&amp;A14&amp;"*")</f>
        <v/>
      </c>
      <c r="F14" s="31">
        <f>IF(E14&gt;0,"Covered by test cases",IF(OR(A14="QR-11",A14="QR-12",A14="QR-13",A14="QR-14"),"Covered by framework/config","GAP"))</f>
        <v/>
      </c>
    </row>
    <row r="15" ht="23.85" customHeight="1" s="23">
      <c r="A15" s="32" t="inlineStr">
        <is>
          <t>QR-12</t>
        </is>
      </c>
      <c r="B15" s="32" t="inlineStr">
        <is>
          <t>Test Data</t>
        </is>
      </c>
      <c r="C15" s="32" t="inlineStr">
        <is>
          <t>Seed collision or reset changes expected state</t>
        </is>
      </c>
      <c r="D15" s="32" t="inlineStr">
        <is>
          <t>High</t>
        </is>
      </c>
      <c r="E15" s="31">
        <f>COUNTIF('Test Cases'!$F$2:$F$174,"*"&amp;A15&amp;"*")</f>
        <v/>
      </c>
      <c r="F15" s="31">
        <f>IF(E15&gt;0,"Covered by test cases",IF(OR(A15="QR-11",A15="QR-12",A15="QR-13",A15="QR-14"),"Covered by framework/config","GAP"))</f>
        <v/>
      </c>
    </row>
    <row r="16" ht="15" customHeight="1" s="23">
      <c r="A16" s="32" t="inlineStr">
        <is>
          <t>QR-13</t>
        </is>
      </c>
      <c r="B16" s="32" t="inlineStr">
        <is>
          <t>Cross-browser</t>
        </is>
      </c>
      <c r="C16" s="32" t="inlineStr">
        <is>
          <t>Critical workflow differs on supported browser</t>
        </is>
      </c>
      <c r="D16" s="32" t="inlineStr">
        <is>
          <t>Medium</t>
        </is>
      </c>
      <c r="E16" s="31">
        <f>COUNTIF('Test Cases'!$F$2:$F$174,"*"&amp;A16&amp;"*")</f>
        <v/>
      </c>
      <c r="F16" s="31">
        <f>IF(E16&gt;0,"Covered by test cases",IF(OR(A16="QR-11",A16="QR-12",A16="QR-13",A16="QR-14"),"Covered by framework/config","GAP"))</f>
        <v/>
      </c>
    </row>
    <row r="17" ht="23.85" customHeight="1" s="23">
      <c r="A17" s="32" t="inlineStr">
        <is>
          <t>QR-14</t>
        </is>
      </c>
      <c r="B17" s="32" t="inlineStr">
        <is>
          <t>Environment</t>
        </is>
      </c>
      <c r="C17" s="32" t="inlineStr">
        <is>
          <t>Shared service or dependency prevents valid testing</t>
        </is>
      </c>
      <c r="D17" s="32" t="inlineStr">
        <is>
          <t>High</t>
        </is>
      </c>
      <c r="E17" s="31">
        <f>COUNTIF('Test Cases'!$F$2:$F$174,"*"&amp;A17&amp;"*")</f>
        <v/>
      </c>
      <c r="F17" s="31">
        <f>IF(E17&gt;0,"Covered by test cases",IF(OR(A17="QR-11",A17="QR-12",A17="QR-13",A17="QR-14"),"Covered by framework/config","GAP"))</f>
        <v/>
      </c>
    </row>
    <row r="19" ht="15" customHeight="1" s="23">
      <c r="A19" s="27" t="inlineStr">
        <is>
          <t>QR-11 to QR-14 are addressed by framework design, not individual test cases: stable locators and trace/screenshot config (QR-11), unique generated data per run plus reserved seed users (QR-12), the Chromium/Firefox/WebKit projects in playwright.config.ts (QR-13), and a health-check / global-setup step (QR-14). They are documented in the README.</t>
        </is>
      </c>
    </row>
    <row r="20" ht="15" customHeight="1" s="23"/>
    <row r="21" ht="15" customHeight="1" s="23"/>
  </sheetData>
  <mergeCells count="1">
    <mergeCell ref="A19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E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2" min="1" max="1"/>
    <col width="62" customWidth="1" style="22" min="2" max="2"/>
    <col width="28" customWidth="1" style="22" min="3" max="3"/>
    <col width="11" customWidth="1" style="22" min="4" max="4"/>
    <col width="14" customWidth="1" style="22" min="5" max="5"/>
  </cols>
  <sheetData>
    <row r="1" ht="17.35" customHeight="1" s="23">
      <c r="A1" s="24" t="inlineStr">
        <is>
          <t>Every Validation ID in the problem statement mapped to a test case</t>
        </is>
      </c>
    </row>
    <row r="3" ht="15" customHeight="1" s="23">
      <c r="A3" s="30" t="inlineStr">
        <is>
          <t>Validation ID</t>
        </is>
      </c>
      <c r="B3" s="30" t="inlineStr">
        <is>
          <t>Scenario (from Functional Module Descriptions)</t>
        </is>
      </c>
      <c r="C3" s="30" t="inlineStr">
        <is>
          <t>Mapped Test Case(s)</t>
        </is>
      </c>
      <c r="D3" s="30" t="inlineStr">
        <is>
          <t># Mapped</t>
        </is>
      </c>
      <c r="E3" s="30" t="inlineStr">
        <is>
          <t>Status</t>
        </is>
      </c>
    </row>
    <row r="4" ht="15" customHeight="1" s="23">
      <c r="A4" s="32" t="inlineStr">
        <is>
          <t>AUTH-V01</t>
        </is>
      </c>
      <c r="B4" s="32" t="inlineStr">
        <is>
          <t>Valid agent can log in successfully</t>
        </is>
      </c>
      <c r="C4" s="32" t="inlineStr">
        <is>
          <t>TC-AUTH-01</t>
        </is>
      </c>
      <c r="D4" s="31">
        <f>COUNTIF('Test Cases'!$E$2:$E$174,"*"&amp;A4&amp;"*")</f>
        <v/>
      </c>
      <c r="E4" s="31">
        <f>IF(D4&gt;0,"Covered","GAP")</f>
        <v/>
      </c>
    </row>
    <row r="5" ht="15" customHeight="1" s="23">
      <c r="A5" s="32" t="inlineStr">
        <is>
          <t>AUTH-V02</t>
        </is>
      </c>
      <c r="B5" s="32" t="inlineStr">
        <is>
          <t>Invalid password displays correct error message</t>
        </is>
      </c>
      <c r="C5" s="32" t="inlineStr">
        <is>
          <t>TC-AUTH-02</t>
        </is>
      </c>
      <c r="D5" s="31">
        <f>COUNTIF('Test Cases'!$E$2:$E$174,"*"&amp;A5&amp;"*")</f>
        <v/>
      </c>
      <c r="E5" s="31">
        <f>IF(D5&gt;0,"Covered","GAP")</f>
        <v/>
      </c>
    </row>
    <row r="6" ht="15" customHeight="1" s="23">
      <c r="A6" s="32" t="inlineStr">
        <is>
          <t>AUTH-V03</t>
        </is>
      </c>
      <c r="B6" s="32" t="inlineStr">
        <is>
          <t>Blank username and password show mandatory validation</t>
        </is>
      </c>
      <c r="C6" s="32" t="inlineStr">
        <is>
          <t>TC-AUTH-03</t>
        </is>
      </c>
      <c r="D6" s="31">
        <f>COUNTIF('Test Cases'!$E$2:$E$174,"*"&amp;A6&amp;"*")</f>
        <v/>
      </c>
      <c r="E6" s="31">
        <f>IF(D6&gt;0,"Covered","GAP")</f>
        <v/>
      </c>
    </row>
    <row r="7" ht="15" customHeight="1" s="23">
      <c r="A7" s="32" t="inlineStr">
        <is>
          <t>AUTH-V04</t>
        </is>
      </c>
      <c r="B7" s="32" t="inlineStr">
        <is>
          <t>Logout clears session and redirects to login page</t>
        </is>
      </c>
      <c r="C7" s="32" t="inlineStr">
        <is>
          <t>TC-AUTH-04</t>
        </is>
      </c>
      <c r="D7" s="31">
        <f>COUNTIF('Test Cases'!$E$2:$E$174,"*"&amp;A7&amp;"*")</f>
        <v/>
      </c>
      <c r="E7" s="31">
        <f>IF(D7&gt;0,"Covered","GAP")</f>
        <v/>
      </c>
    </row>
    <row r="8" ht="15" customHeight="1" s="23">
      <c r="A8" s="32" t="inlineStr">
        <is>
          <t>AUTH-V05</t>
        </is>
      </c>
      <c r="B8" s="32" t="inlineStr">
        <is>
          <t>Direct access to dashboard without login is blocked</t>
        </is>
      </c>
      <c r="C8" s="32" t="inlineStr">
        <is>
          <t>TC-AUTH-05</t>
        </is>
      </c>
      <c r="D8" s="31">
        <f>COUNTIF('Test Cases'!$E$2:$E$174,"*"&amp;A8&amp;"*")</f>
        <v/>
      </c>
      <c r="E8" s="31">
        <f>IF(D8&gt;0,"Covered","GAP")</f>
        <v/>
      </c>
    </row>
    <row r="9" ht="15" customHeight="1" s="23">
      <c r="A9" s="32" t="inlineStr">
        <is>
          <t>AUTH-V06</t>
        </is>
      </c>
      <c r="B9" s="32" t="inlineStr">
        <is>
          <t>Locked user cannot access dashboard</t>
        </is>
      </c>
      <c r="C9" s="32" t="inlineStr">
        <is>
          <t>TC-AUTH-06</t>
        </is>
      </c>
      <c r="D9" s="31">
        <f>COUNTIF('Test Cases'!$E$2:$E$174,"*"&amp;A9&amp;"*")</f>
        <v/>
      </c>
      <c r="E9" s="31">
        <f>IF(D9&gt;0,"Covered","GAP")</f>
        <v/>
      </c>
    </row>
    <row r="10" ht="15" customHeight="1" s="23">
      <c r="A10" s="32" t="inlineStr">
        <is>
          <t>AUTH-V07</t>
        </is>
      </c>
      <c r="B10" s="32" t="inlineStr">
        <is>
          <t>Account locks after five failed login attempts</t>
        </is>
      </c>
      <c r="C10" s="32" t="inlineStr">
        <is>
          <t>TC-AUTH-07</t>
        </is>
      </c>
      <c r="D10" s="31">
        <f>COUNTIF('Test Cases'!$E$2:$E$174,"*"&amp;A10&amp;"*")</f>
        <v/>
      </c>
      <c r="E10" s="31">
        <f>IF(D10&gt;0,"Covered","GAP")</f>
        <v/>
      </c>
    </row>
    <row r="11" ht="15" customHeight="1" s="23">
      <c r="A11" s="32" t="inlineStr">
        <is>
          <t>AUTH-V08</t>
        </is>
      </c>
      <c r="B11" s="32" t="inlineStr">
        <is>
          <t>Password policy rejects weak password</t>
        </is>
      </c>
      <c r="C11" s="32" t="inlineStr">
        <is>
          <t>TC-AUTH-08</t>
        </is>
      </c>
      <c r="D11" s="31">
        <f>COUNTIF('Test Cases'!$E$2:$E$174,"*"&amp;A11&amp;"*")</f>
        <v/>
      </c>
      <c r="E11" s="31">
        <f>IF(D11&gt;0,"Covered","GAP")</f>
        <v/>
      </c>
    </row>
    <row r="12" ht="15" customHeight="1" s="23">
      <c r="A12" s="32" t="inlineStr">
        <is>
          <t>DASH-V01</t>
        </is>
      </c>
      <c r="B12" s="32" t="inlineStr">
        <is>
          <t>Dashboard loads after successful login</t>
        </is>
      </c>
      <c r="C12" s="32" t="inlineStr">
        <is>
          <t>TC-DASH-01</t>
        </is>
      </c>
      <c r="D12" s="31">
        <f>COUNTIF('Test Cases'!$E$2:$E$174,"*"&amp;A12&amp;"*")</f>
        <v/>
      </c>
      <c r="E12" s="31">
        <f>IF(D12&gt;0,"Covered","GAP")</f>
        <v/>
      </c>
    </row>
    <row r="13" ht="15" customHeight="1" s="23">
      <c r="A13" s="32" t="inlineStr">
        <is>
          <t>DASH-V02</t>
        </is>
      </c>
      <c r="B13" s="32" t="inlineStr">
        <is>
          <t>Agent sees only own applications</t>
        </is>
      </c>
      <c r="C13" s="32" t="inlineStr">
        <is>
          <t>TC-DASH-02</t>
        </is>
      </c>
      <c r="D13" s="31">
        <f>COUNTIF('Test Cases'!$E$2:$E$174,"*"&amp;A13&amp;"*")</f>
        <v/>
      </c>
      <c r="E13" s="31">
        <f>IF(D13&gt;0,"Covered","GAP")</f>
        <v/>
      </c>
    </row>
    <row r="14" ht="15" customHeight="1" s="23">
      <c r="A14" s="32" t="inlineStr">
        <is>
          <t>DASH-V03</t>
        </is>
      </c>
      <c r="B14" s="32" t="inlineStr">
        <is>
          <t>New agent sees empty application state</t>
        </is>
      </c>
      <c r="C14" s="32" t="inlineStr">
        <is>
          <t>TC-DASH-03</t>
        </is>
      </c>
      <c r="D14" s="31">
        <f>COUNTIF('Test Cases'!$E$2:$E$174,"*"&amp;A14&amp;"*")</f>
        <v/>
      </c>
      <c r="E14" s="31">
        <f>IF(D14&gt;0,"Covered","GAP")</f>
        <v/>
      </c>
    </row>
    <row r="15" ht="15" customHeight="1" s="23">
      <c r="A15" s="32" t="inlineStr">
        <is>
          <t>DASH-V04</t>
        </is>
      </c>
      <c r="B15" s="32" t="inlineStr">
        <is>
          <t>Draft application can be resumed</t>
        </is>
      </c>
      <c r="C15" s="32" t="inlineStr">
        <is>
          <t>TC-DASH-04</t>
        </is>
      </c>
      <c r="D15" s="31">
        <f>COUNTIF('Test Cases'!$E$2:$E$174,"*"&amp;A15&amp;"*")</f>
        <v/>
      </c>
      <c r="E15" s="31">
        <f>IF(D15&gt;0,"Covered","GAP")</f>
        <v/>
      </c>
    </row>
    <row r="16" ht="15" customHeight="1" s="23">
      <c r="A16" s="32" t="inlineStr">
        <is>
          <t>DASH-V05</t>
        </is>
      </c>
      <c r="B16" s="32" t="inlineStr">
        <is>
          <t>Application status filter works correctly</t>
        </is>
      </c>
      <c r="C16" s="32" t="inlineStr">
        <is>
          <t>TC-DASH-05</t>
        </is>
      </c>
      <c r="D16" s="31">
        <f>COUNTIF('Test Cases'!$E$2:$E$174,"*"&amp;A16&amp;"*")</f>
        <v/>
      </c>
      <c r="E16" s="31">
        <f>IF(D16&gt;0,"Covered","GAP")</f>
        <v/>
      </c>
    </row>
    <row r="17" ht="15" customHeight="1" s="23">
      <c r="A17" s="32" t="inlineStr">
        <is>
          <t>DASH-V06</t>
        </is>
      </c>
      <c r="B17" s="32" t="inlineStr">
        <is>
          <t>Dashboard application status matches API response</t>
        </is>
      </c>
      <c r="C17" s="32" t="inlineStr">
        <is>
          <t>TC-DASH-06</t>
        </is>
      </c>
      <c r="D17" s="31">
        <f>COUNTIF('Test Cases'!$E$2:$E$174,"*"&amp;A17&amp;"*")</f>
        <v/>
      </c>
      <c r="E17" s="31">
        <f>IF(D17&gt;0,"Covered","GAP")</f>
        <v/>
      </c>
    </row>
    <row r="18" ht="15" customHeight="1" s="23">
      <c r="A18" s="32" t="inlineStr">
        <is>
          <t>CLI-V01</t>
        </is>
      </c>
      <c r="B18" s="32" t="inlineStr">
        <is>
          <t>Agent can enter valid insured personal information</t>
        </is>
      </c>
      <c r="C18" s="32" t="inlineStr">
        <is>
          <t>TC-CLI-01</t>
        </is>
      </c>
      <c r="D18" s="31">
        <f>COUNTIF('Test Cases'!$E$2:$E$174,"*"&amp;A18&amp;"*")</f>
        <v/>
      </c>
      <c r="E18" s="31">
        <f>IF(D18&gt;0,"Covered","GAP")</f>
        <v/>
      </c>
    </row>
    <row r="19" ht="15" customHeight="1" s="23">
      <c r="A19" s="32" t="inlineStr">
        <is>
          <t>CLI-V02</t>
        </is>
      </c>
      <c r="B19" s="32" t="inlineStr">
        <is>
          <t>Mandatory personal fields are validated</t>
        </is>
      </c>
      <c r="C19" s="32" t="inlineStr">
        <is>
          <t>TC-CLI-02</t>
        </is>
      </c>
      <c r="D19" s="31">
        <f>COUNTIF('Test Cases'!$E$2:$E$174,"*"&amp;A19&amp;"*")</f>
        <v/>
      </c>
      <c r="E19" s="31">
        <f>IF(D19&gt;0,"Covered","GAP")</f>
        <v/>
      </c>
    </row>
    <row r="20" ht="15" customHeight="1" s="23">
      <c r="A20" s="32" t="inlineStr">
        <is>
          <t>CLI-V03</t>
        </is>
      </c>
      <c r="B20" s="32" t="inlineStr">
        <is>
          <t>DOB below 18 years is rejected</t>
        </is>
      </c>
      <c r="C20" s="32" t="inlineStr">
        <is>
          <t>TC-CLI-03</t>
        </is>
      </c>
      <c r="D20" s="31">
        <f>COUNTIF('Test Cases'!$E$2:$E$174,"*"&amp;A20&amp;"*")</f>
        <v/>
      </c>
      <c r="E20" s="31">
        <f>IF(D20&gt;0,"Covered","GAP")</f>
        <v/>
      </c>
    </row>
    <row r="21" ht="15" customHeight="1" s="23">
      <c r="A21" s="32" t="inlineStr">
        <is>
          <t>CLI-V04</t>
        </is>
      </c>
      <c r="B21" s="32" t="inlineStr">
        <is>
          <t>DOB above 65 years is rejected</t>
        </is>
      </c>
      <c r="C21" s="32" t="inlineStr">
        <is>
          <t>TC-CLI-04</t>
        </is>
      </c>
      <c r="D21" s="31">
        <f>COUNTIF('Test Cases'!$E$2:$E$174,"*"&amp;A21&amp;"*")</f>
        <v/>
      </c>
      <c r="E21" s="31">
        <f>IF(D21&gt;0,"Covered","GAP")</f>
        <v/>
      </c>
    </row>
    <row r="22" ht="15" customHeight="1" s="23">
      <c r="A22" s="32" t="inlineStr">
        <is>
          <t>CLI-V05</t>
        </is>
      </c>
      <c r="B22" s="32" t="inlineStr">
        <is>
          <t>Future DOB is rejected</t>
        </is>
      </c>
      <c r="C22" s="32" t="inlineStr">
        <is>
          <t>TC-CLI-05</t>
        </is>
      </c>
      <c r="D22" s="31">
        <f>COUNTIF('Test Cases'!$E$2:$E$174,"*"&amp;A22&amp;"*")</f>
        <v/>
      </c>
      <c r="E22" s="31">
        <f>IF(D22&gt;0,"Covered","GAP")</f>
        <v/>
      </c>
    </row>
    <row r="23" ht="15" customHeight="1" s="23">
      <c r="A23" s="32" t="inlineStr">
        <is>
          <t>CLI-V06</t>
        </is>
      </c>
      <c r="B23" s="32" t="inlineStr">
        <is>
          <t>Same-as-residential address copies data to mailing address</t>
        </is>
      </c>
      <c r="C23" s="32" t="inlineStr">
        <is>
          <t>TC-ADDR-01</t>
        </is>
      </c>
      <c r="D23" s="31">
        <f>COUNTIF('Test Cases'!$E$2:$E$174,"*"&amp;A23&amp;"*")</f>
        <v/>
      </c>
      <c r="E23" s="31">
        <f>IF(D23&gt;0,"Covered","GAP")</f>
        <v/>
      </c>
    </row>
    <row r="24" ht="15" customHeight="1" s="23">
      <c r="A24" s="32" t="inlineStr">
        <is>
          <t>CLI-V07</t>
        </is>
      </c>
      <c r="B24" s="32" t="inlineStr">
        <is>
          <t>Invalid email and phone formats are rejected</t>
        </is>
      </c>
      <c r="C24" s="32" t="inlineStr">
        <is>
          <t>TC-ADDR-05, TC-ADDR-06</t>
        </is>
      </c>
      <c r="D24" s="31">
        <f>COUNTIF('Test Cases'!$E$2:$E$174,"*"&amp;A24&amp;"*")</f>
        <v/>
      </c>
      <c r="E24" s="31">
        <f>IF(D24&gt;0,"Covered","GAP")</f>
        <v/>
      </c>
    </row>
    <row r="25" ht="15" customHeight="1" s="23">
      <c r="A25" s="32" t="inlineStr">
        <is>
          <t>CLI-V08</t>
        </is>
      </c>
      <c r="B25" s="32" t="inlineStr">
        <is>
          <t>SSN is masked after entry</t>
        </is>
      </c>
      <c r="C25" s="32" t="inlineStr">
        <is>
          <t>TC-KYC-01</t>
        </is>
      </c>
      <c r="D25" s="31">
        <f>COUNTIF('Test Cases'!$E$2:$E$174,"*"&amp;A25&amp;"*")</f>
        <v/>
      </c>
      <c r="E25" s="31">
        <f>IF(D25&gt;0,"Covered","GAP")</f>
        <v/>
      </c>
    </row>
    <row r="26" ht="15" customHeight="1" s="23">
      <c r="A26" s="32" t="inlineStr">
        <is>
          <t>CLI-V09</t>
        </is>
      </c>
      <c r="B26" s="32" t="inlineStr">
        <is>
          <t>KYC upload rejects unsupported file type</t>
        </is>
      </c>
      <c r="C26" s="32" t="inlineStr">
        <is>
          <t>TC-KYC-03</t>
        </is>
      </c>
      <c r="D26" s="31">
        <f>COUNTIF('Test Cases'!$E$2:$E$174,"*"&amp;A26&amp;"*")</f>
        <v/>
      </c>
      <c r="E26" s="31">
        <f>IF(D26&gt;0,"Covered","GAP")</f>
        <v/>
      </c>
    </row>
    <row r="27" ht="15" customHeight="1" s="23">
      <c r="A27" s="32" t="inlineStr">
        <is>
          <t>CLI-V10</t>
        </is>
      </c>
      <c r="B27" s="32" t="inlineStr">
        <is>
          <t>PEP Yes requires additional details</t>
        </is>
      </c>
      <c r="C27" s="32" t="inlineStr">
        <is>
          <t>TC-KYC-04</t>
        </is>
      </c>
      <c r="D27" s="31">
        <f>COUNTIF('Test Cases'!$E$2:$E$174,"*"&amp;A27&amp;"*")</f>
        <v/>
      </c>
      <c r="E27" s="31">
        <f>IF(D27&gt;0,"Covered","GAP")</f>
        <v/>
      </c>
    </row>
    <row r="28" ht="15" customHeight="1" s="23">
      <c r="A28" s="32" t="inlineStr">
        <is>
          <t>PROD-V01</t>
        </is>
      </c>
      <c r="B28" s="32" t="inlineStr">
        <is>
          <t>Product catalog displays expected Whole Life products</t>
        </is>
      </c>
      <c r="C28" s="32" t="inlineStr">
        <is>
          <t>TC-PROD-01</t>
        </is>
      </c>
      <c r="D28" s="31">
        <f>COUNTIF('Test Cases'!$E$2:$E$174,"*"&amp;A28&amp;"*")</f>
        <v/>
      </c>
      <c r="E28" s="31">
        <f>IF(D28&gt;0,"Covered","GAP")</f>
        <v/>
      </c>
    </row>
    <row r="29" ht="15" customHeight="1" s="23">
      <c r="A29" s="32" t="inlineStr">
        <is>
          <t>PROD-V02</t>
        </is>
      </c>
      <c r="B29" s="32" t="inlineStr">
        <is>
          <t>Product details page opens correctly</t>
        </is>
      </c>
      <c r="C29" s="32" t="inlineStr">
        <is>
          <t>TC-PROD-02</t>
        </is>
      </c>
      <c r="D29" s="31">
        <f>COUNTIF('Test Cases'!$E$2:$E$174,"*"&amp;A29&amp;"*")</f>
        <v/>
      </c>
      <c r="E29" s="31">
        <f>IF(D29&gt;0,"Covered","GAP")</f>
        <v/>
      </c>
    </row>
    <row r="30" ht="15" customHeight="1" s="23">
      <c r="A30" s="32" t="inlineStr">
        <is>
          <t>PROD-V03</t>
        </is>
      </c>
      <c r="B30" s="32" t="inlineStr">
        <is>
          <t>Face value below minimum is rejected</t>
        </is>
      </c>
      <c r="C30" s="32" t="inlineStr">
        <is>
          <t>TC-PROD-03</t>
        </is>
      </c>
      <c r="D30" s="31">
        <f>COUNTIF('Test Cases'!$E$2:$E$174,"*"&amp;A30&amp;"*")</f>
        <v/>
      </c>
      <c r="E30" s="31">
        <f>IF(D30&gt;0,"Covered","GAP")</f>
        <v/>
      </c>
    </row>
    <row r="31" ht="15" customHeight="1" s="23">
      <c r="A31" s="32" t="inlineStr">
        <is>
          <t>PROD-V04</t>
        </is>
      </c>
      <c r="B31" s="32" t="inlineStr">
        <is>
          <t>Face value above maximum is rejected</t>
        </is>
      </c>
      <c r="C31" s="32" t="inlineStr">
        <is>
          <t>TC-PROD-04</t>
        </is>
      </c>
      <c r="D31" s="31">
        <f>COUNTIF('Test Cases'!$E$2:$E$174,"*"&amp;A31&amp;"*")</f>
        <v/>
      </c>
      <c r="E31" s="31">
        <f>IF(D31&gt;0,"Covered","GAP")</f>
        <v/>
      </c>
    </row>
    <row r="32" ht="15" customHeight="1" s="23">
      <c r="A32" s="32" t="inlineStr">
        <is>
          <t>PROD-V05</t>
        </is>
      </c>
      <c r="B32" s="32" t="inlineStr">
        <is>
          <t>Premium recalculates when frequency changes</t>
        </is>
      </c>
      <c r="C32" s="32" t="inlineStr">
        <is>
          <t>TC-PROD-05</t>
        </is>
      </c>
      <c r="D32" s="31">
        <f>COUNTIF('Test Cases'!$E$2:$E$174,"*"&amp;A32&amp;"*")</f>
        <v/>
      </c>
      <c r="E32" s="31">
        <f>IF(D32&gt;0,"Covered","GAP")</f>
        <v/>
      </c>
    </row>
    <row r="33" ht="15" customHeight="1" s="23">
      <c r="A33" s="32" t="inlineStr">
        <is>
          <t>PROD-V06</t>
        </is>
      </c>
      <c r="B33" s="32" t="inlineStr">
        <is>
          <t>Premium on review page matches configuration page</t>
        </is>
      </c>
      <c r="C33" s="32" t="inlineStr">
        <is>
          <t>TC-PROD-06</t>
        </is>
      </c>
      <c r="D33" s="31">
        <f>COUNTIF('Test Cases'!$E$2:$E$174,"*"&amp;A33&amp;"*")</f>
        <v/>
      </c>
      <c r="E33" s="31">
        <f>IF(D33&gt;0,"Covered","GAP")</f>
        <v/>
      </c>
    </row>
    <row r="34" ht="15" customHeight="1" s="23">
      <c r="A34" s="32" t="inlineStr">
        <is>
          <t>PROD-V07</t>
        </is>
      </c>
      <c r="B34" s="32" t="inlineStr">
        <is>
          <t>Product suitability warning appears for mismatch</t>
        </is>
      </c>
      <c r="C34" s="32" t="inlineStr">
        <is>
          <t>TC-PROD-07</t>
        </is>
      </c>
      <c r="D34" s="31">
        <f>COUNTIF('Test Cases'!$E$2:$E$174,"*"&amp;A34&amp;"*")</f>
        <v/>
      </c>
      <c r="E34" s="31">
        <f>IF(D34&gt;0,"Covered","GAP")</f>
        <v/>
      </c>
    </row>
    <row r="35" ht="15" customHeight="1" s="23">
      <c r="A35" s="32" t="inlineStr">
        <is>
          <t>RIDER-V01</t>
        </is>
      </c>
      <c r="B35" s="32" t="inlineStr">
        <is>
          <t>Agent can add an eligible protection rider</t>
        </is>
      </c>
      <c r="C35" s="32" t="inlineStr">
        <is>
          <t>TC-RID-01</t>
        </is>
      </c>
      <c r="D35" s="31">
        <f>COUNTIF('Test Cases'!$E$2:$E$174,"*"&amp;A35&amp;"*")</f>
        <v/>
      </c>
      <c r="E35" s="31">
        <f>IF(D35&gt;0,"Covered","GAP")</f>
        <v/>
      </c>
    </row>
    <row r="36" ht="15" customHeight="1" s="23">
      <c r="A36" s="32" t="inlineStr">
        <is>
          <t>RIDER-V02</t>
        </is>
      </c>
      <c r="B36" s="32" t="inlineStr">
        <is>
          <t>Rider coverage cannot exceed base face value</t>
        </is>
      </c>
      <c r="C36" s="32" t="inlineStr">
        <is>
          <t>TC-RID-02</t>
        </is>
      </c>
      <c r="D36" s="31">
        <f>COUNTIF('Test Cases'!$E$2:$E$174,"*"&amp;A36&amp;"*")</f>
        <v/>
      </c>
      <c r="E36" s="31">
        <f>IF(D36&gt;0,"Covered","GAP")</f>
        <v/>
      </c>
    </row>
    <row r="37" ht="15" customHeight="1" s="23">
      <c r="A37" s="32" t="inlineStr">
        <is>
          <t>RIDER-V03</t>
        </is>
      </c>
      <c r="B37" s="32" t="inlineStr">
        <is>
          <t>Age-ineligible rider cannot be added</t>
        </is>
      </c>
      <c r="C37" s="32" t="inlineStr">
        <is>
          <t>TC-RID-03</t>
        </is>
      </c>
      <c r="D37" s="31">
        <f>COUNTIF('Test Cases'!$E$2:$E$174,"*"&amp;A37&amp;"*")</f>
        <v/>
      </c>
      <c r="E37" s="31">
        <f>IF(D37&gt;0,"Covered","GAP")</f>
        <v/>
      </c>
    </row>
    <row r="38" ht="15" customHeight="1" s="23">
      <c r="A38" s="32" t="inlineStr">
        <is>
          <t>RIDER-V04</t>
        </is>
      </c>
      <c r="B38" s="32" t="inlineStr">
        <is>
          <t>Maximum rider count is enforced</t>
        </is>
      </c>
      <c r="C38" s="32" t="inlineStr">
        <is>
          <t>TC-RID-04</t>
        </is>
      </c>
      <c r="D38" s="31">
        <f>COUNTIF('Test Cases'!$E$2:$E$174,"*"&amp;A38&amp;"*")</f>
        <v/>
      </c>
      <c r="E38" s="31">
        <f>IF(D38&gt;0,"Covered","GAP")</f>
        <v/>
      </c>
    </row>
    <row r="39" ht="15" customHeight="1" s="23">
      <c r="A39" s="32" t="inlineStr">
        <is>
          <t>RIDER-V05</t>
        </is>
      </c>
      <c r="B39" s="32" t="inlineStr">
        <is>
          <t>Mutually exclusive waiver riders cannot both be selected</t>
        </is>
      </c>
      <c r="C39" s="32" t="inlineStr">
        <is>
          <t>TC-RID-05</t>
        </is>
      </c>
      <c r="D39" s="31">
        <f>COUNTIF('Test Cases'!$E$2:$E$174,"*"&amp;A39&amp;"*")</f>
        <v/>
      </c>
      <c r="E39" s="31">
        <f>IF(D39&gt;0,"Covered","GAP")</f>
        <v/>
      </c>
    </row>
    <row r="40" ht="15" customHeight="1" s="23">
      <c r="A40" s="32" t="inlineStr">
        <is>
          <t>RIDER-V06</t>
        </is>
      </c>
      <c r="B40" s="32" t="inlineStr">
        <is>
          <t>Critical illness rider triggers health questionnaire</t>
        </is>
      </c>
      <c r="C40" s="32" t="inlineStr">
        <is>
          <t>TC-RID-06</t>
        </is>
      </c>
      <c r="D40" s="31">
        <f>COUNTIF('Test Cases'!$E$2:$E$174,"*"&amp;A40&amp;"*")</f>
        <v/>
      </c>
      <c r="E40" s="31">
        <f>IF(D40&gt;0,"Covered","GAP")</f>
        <v/>
      </c>
    </row>
    <row r="41" ht="15" customHeight="1" s="23">
      <c r="A41" s="32" t="inlineStr">
        <is>
          <t>RIDER-V07</t>
        </is>
      </c>
      <c r="B41" s="32" t="inlineStr">
        <is>
          <t>Rider premium is itemized in total premium</t>
        </is>
      </c>
      <c r="C41" s="32" t="inlineStr">
        <is>
          <t>TC-RID-07</t>
        </is>
      </c>
      <c r="D41" s="31">
        <f>COUNTIF('Test Cases'!$E$2:$E$174,"*"&amp;A41&amp;"*")</f>
        <v/>
      </c>
      <c r="E41" s="31">
        <f>IF(D41&gt;0,"Covered","GAP")</f>
        <v/>
      </c>
    </row>
    <row r="42" ht="15" customHeight="1" s="23">
      <c r="A42" s="32" t="inlineStr">
        <is>
          <t>BEN-V01</t>
        </is>
      </c>
      <c r="B42" s="32" t="inlineStr">
        <is>
          <t>Add a valid primary beneficiary</t>
        </is>
      </c>
      <c r="C42" s="32" t="inlineStr">
        <is>
          <t>TC-BEN-01</t>
        </is>
      </c>
      <c r="D42" s="31">
        <f>COUNTIF('Test Cases'!$E$2:$E$174,"*"&amp;A42&amp;"*")</f>
        <v/>
      </c>
      <c r="E42" s="31">
        <f>IF(D42&gt;0,"Covered","GAP")</f>
        <v/>
      </c>
    </row>
    <row r="43" ht="15" customHeight="1" s="23">
      <c r="A43" s="32" t="inlineStr">
        <is>
          <t>BEN-V02</t>
        </is>
      </c>
      <c r="B43" s="32" t="inlineStr">
        <is>
          <t>Primary allocation below 100% blocks progression</t>
        </is>
      </c>
      <c r="C43" s="32" t="inlineStr">
        <is>
          <t>TC-BEN-02</t>
        </is>
      </c>
      <c r="D43" s="31">
        <f>COUNTIF('Test Cases'!$E$2:$E$174,"*"&amp;A43&amp;"*")</f>
        <v/>
      </c>
      <c r="E43" s="31">
        <f>IF(D43&gt;0,"Covered","GAP")</f>
        <v/>
      </c>
    </row>
    <row r="44" ht="15" customHeight="1" s="23">
      <c r="A44" s="32" t="inlineStr">
        <is>
          <t>BEN-V03</t>
        </is>
      </c>
      <c r="B44" s="32" t="inlineStr">
        <is>
          <t>Primary allocation above 100% blocks progression</t>
        </is>
      </c>
      <c r="C44" s="32" t="inlineStr">
        <is>
          <t>TC-BEN-03</t>
        </is>
      </c>
      <c r="D44" s="31">
        <f>COUNTIF('Test Cases'!$E$2:$E$174,"*"&amp;A44&amp;"*")</f>
        <v/>
      </c>
      <c r="E44" s="31">
        <f>IF(D44&gt;0,"Covered","GAP")</f>
        <v/>
      </c>
    </row>
    <row r="45" ht="15" customHeight="1" s="23">
      <c r="A45" s="32" t="inlineStr">
        <is>
          <t>BEN-V04</t>
        </is>
      </c>
      <c r="B45" s="32" t="inlineStr">
        <is>
          <t>Secondary allocation is validated separately</t>
        </is>
      </c>
      <c r="C45" s="32" t="inlineStr">
        <is>
          <t>TC-BEN-04</t>
        </is>
      </c>
      <c r="D45" s="31">
        <f>COUNTIF('Test Cases'!$E$2:$E$174,"*"&amp;A45&amp;"*")</f>
        <v/>
      </c>
      <c r="E45" s="31">
        <f>IF(D45&gt;0,"Covered","GAP")</f>
        <v/>
      </c>
    </row>
    <row r="46" ht="15" customHeight="1" s="23">
      <c r="A46" s="32" t="inlineStr">
        <is>
          <t>BEN-V05</t>
        </is>
      </c>
      <c r="B46" s="32" t="inlineStr">
        <is>
          <t>Minor beneficiary requires guardian details</t>
        </is>
      </c>
      <c r="C46" s="32" t="inlineStr">
        <is>
          <t>TC-BEN-05</t>
        </is>
      </c>
      <c r="D46" s="31">
        <f>COUNTIF('Test Cases'!$E$2:$E$174,"*"&amp;A46&amp;"*")</f>
        <v/>
      </c>
      <c r="E46" s="31">
        <f>IF(D46&gt;0,"Covered","GAP")</f>
        <v/>
      </c>
    </row>
    <row r="47" ht="15" customHeight="1" s="23">
      <c r="A47" s="32" t="inlineStr">
        <is>
          <t>BEN-V06</t>
        </is>
      </c>
      <c r="B47" s="32" t="inlineStr">
        <is>
          <t>Trust beneficiary shows trust-specific fields</t>
        </is>
      </c>
      <c r="C47" s="32" t="inlineStr">
        <is>
          <t>TC-BEN-06</t>
        </is>
      </c>
      <c r="D47" s="31">
        <f>COUNTIF('Test Cases'!$E$2:$E$174,"*"&amp;A47&amp;"*")</f>
        <v/>
      </c>
      <c r="E47" s="31">
        <f>IF(D47&gt;0,"Covered","GAP")</f>
        <v/>
      </c>
    </row>
    <row r="48" ht="15" customHeight="1" s="23">
      <c r="A48" s="32" t="inlineStr">
        <is>
          <t>BEN-V07</t>
        </is>
      </c>
      <c r="B48" s="32" t="inlineStr">
        <is>
          <t>Organization beneficiary shows organization-specific fields</t>
        </is>
      </c>
      <c r="C48" s="32" t="inlineStr">
        <is>
          <t>TC-BEN-07</t>
        </is>
      </c>
      <c r="D48" s="31">
        <f>COUNTIF('Test Cases'!$E$2:$E$174,"*"&amp;A48&amp;"*")</f>
        <v/>
      </c>
      <c r="E48" s="31">
        <f>IF(D48&gt;0,"Covered","GAP")</f>
        <v/>
      </c>
    </row>
    <row r="49" ht="15" customHeight="1" s="23">
      <c r="A49" s="32" t="inlineStr">
        <is>
          <t>BEN-V08</t>
        </is>
      </c>
      <c r="B49" s="32" t="inlineStr">
        <is>
          <t>Duplicate beneficiary is blocked</t>
        </is>
      </c>
      <c r="C49" s="32" t="inlineStr">
        <is>
          <t>TC-BEN-08</t>
        </is>
      </c>
      <c r="D49" s="31">
        <f>COUNTIF('Test Cases'!$E$2:$E$174,"*"&amp;A49&amp;"*")</f>
        <v/>
      </c>
      <c r="E49" s="31">
        <f>IF(D49&gt;0,"Covered","GAP")</f>
        <v/>
      </c>
    </row>
    <row r="50" ht="15" customHeight="1" s="23">
      <c r="A50" s="32" t="inlineStr">
        <is>
          <t>BEN-V09</t>
        </is>
      </c>
      <c r="B50" s="32" t="inlineStr">
        <is>
          <t>Removing beneficiary updates allocation total</t>
        </is>
      </c>
      <c r="C50" s="32" t="inlineStr">
        <is>
          <t>TC-BEN-09</t>
        </is>
      </c>
      <c r="D50" s="31">
        <f>COUNTIF('Test Cases'!$E$2:$E$174,"*"&amp;A50&amp;"*")</f>
        <v/>
      </c>
      <c r="E50" s="31">
        <f>IF(D50&gt;0,"Covered","GAP")</f>
        <v/>
      </c>
    </row>
    <row r="51" ht="15" customHeight="1" s="23">
      <c r="A51" s="32" t="inlineStr">
        <is>
          <t>DOC-V01</t>
        </is>
      </c>
      <c r="B51" s="32" t="inlineStr">
        <is>
          <t>Valid KYC document can be uploaded</t>
        </is>
      </c>
      <c r="C51" s="32" t="inlineStr">
        <is>
          <t>TC-DOC-01</t>
        </is>
      </c>
      <c r="D51" s="31">
        <f>COUNTIF('Test Cases'!$E$2:$E$174,"*"&amp;A51&amp;"*")</f>
        <v/>
      </c>
      <c r="E51" s="31">
        <f>IF(D51&gt;0,"Covered","GAP")</f>
        <v/>
      </c>
    </row>
    <row r="52" ht="15" customHeight="1" s="23">
      <c r="A52" s="32" t="inlineStr">
        <is>
          <t>DOC-V02</t>
        </is>
      </c>
      <c r="B52" s="32" t="inlineStr">
        <is>
          <t>Unsupported file type is rejected</t>
        </is>
      </c>
      <c r="C52" s="32" t="inlineStr">
        <is>
          <t>TC-DOC-02</t>
        </is>
      </c>
      <c r="D52" s="31">
        <f>COUNTIF('Test Cases'!$E$2:$E$174,"*"&amp;A52&amp;"*")</f>
        <v/>
      </c>
      <c r="E52" s="31">
        <f>IF(D52&gt;0,"Covered","GAP")</f>
        <v/>
      </c>
    </row>
    <row r="53" ht="15" customHeight="1" s="23">
      <c r="A53" s="32" t="inlineStr">
        <is>
          <t>DOC-V03</t>
        </is>
      </c>
      <c r="B53" s="32" t="inlineStr">
        <is>
          <t>File above maximum size is rejected</t>
        </is>
      </c>
      <c r="C53" s="32" t="inlineStr">
        <is>
          <t>TC-DOC-03</t>
        </is>
      </c>
      <c r="D53" s="31">
        <f>COUNTIF('Test Cases'!$E$2:$E$174,"*"&amp;A53&amp;"*")</f>
        <v/>
      </c>
      <c r="E53" s="31">
        <f>IF(D53&gt;0,"Covered","GAP")</f>
        <v/>
      </c>
    </row>
    <row r="54" ht="15" customHeight="1" s="23">
      <c r="A54" s="32" t="inlineStr">
        <is>
          <t>DOC-V04</t>
        </is>
      </c>
      <c r="B54" s="32" t="inlineStr">
        <is>
          <t>Missing mandatory document blocks submission</t>
        </is>
      </c>
      <c r="C54" s="32" t="inlineStr">
        <is>
          <t>TC-DOC-04</t>
        </is>
      </c>
      <c r="D54" s="31">
        <f>COUNTIF('Test Cases'!$E$2:$E$174,"*"&amp;A54&amp;"*")</f>
        <v/>
      </c>
      <c r="E54" s="31">
        <f>IF(D54&gt;0,"Covered","GAP")</f>
        <v/>
      </c>
    </row>
    <row r="55" ht="15" customHeight="1" s="23">
      <c r="A55" s="32" t="inlineStr">
        <is>
          <t>VAL-V01</t>
        </is>
      </c>
      <c r="B55" s="32" t="inlineStr">
        <is>
          <t>Validation summary lists all unresolved errors</t>
        </is>
      </c>
      <c r="C55" s="32" t="inlineStr">
        <is>
          <t>TC-VAL-01</t>
        </is>
      </c>
      <c r="D55" s="31">
        <f>COUNTIF('Test Cases'!$E$2:$E$174,"*"&amp;A55&amp;"*")</f>
        <v/>
      </c>
      <c r="E55" s="31">
        <f>IF(D55&gt;0,"Covered","GAP")</f>
        <v/>
      </c>
    </row>
    <row r="56" ht="15" customHeight="1" s="23">
      <c r="A56" s="32" t="inlineStr">
        <is>
          <t>VAL-V02</t>
        </is>
      </c>
      <c r="B56" s="32" t="inlineStr">
        <is>
          <t>Clicking validation error navigates to field</t>
        </is>
      </c>
      <c r="C56" s="32" t="inlineStr">
        <is>
          <t>TC-VAL-02</t>
        </is>
      </c>
      <c r="D56" s="31">
        <f>COUNTIF('Test Cases'!$E$2:$E$174,"*"&amp;A56&amp;"*")</f>
        <v/>
      </c>
      <c r="E56" s="31">
        <f>IF(D56&gt;0,"Covered","GAP")</f>
        <v/>
      </c>
    </row>
    <row r="57" ht="15" customHeight="1" s="23">
      <c r="A57" s="32" t="inlineStr">
        <is>
          <t>VAL-V03</t>
        </is>
      </c>
      <c r="B57" s="32" t="inlineStr">
        <is>
          <t>Submit button remains disabled until critical errors are resolved</t>
        </is>
      </c>
      <c r="C57" s="32" t="inlineStr">
        <is>
          <t>TC-VAL-03</t>
        </is>
      </c>
      <c r="D57" s="31">
        <f>COUNTIF('Test Cases'!$E$2:$E$174,"*"&amp;A57&amp;"*")</f>
        <v/>
      </c>
      <c r="E57" s="31">
        <f>IF(D57&gt;0,"Covered","GAP")</f>
        <v/>
      </c>
    </row>
    <row r="58" ht="15" customHeight="1" s="23">
      <c r="A58" s="32" t="inlineStr">
        <is>
          <t>WF-V01</t>
        </is>
      </c>
      <c r="B58" s="32" t="inlineStr">
        <is>
          <t>Agent can save incomplete application as draft</t>
        </is>
      </c>
      <c r="C58" s="32" t="inlineStr">
        <is>
          <t>TC-WF-01</t>
        </is>
      </c>
      <c r="D58" s="31">
        <f>COUNTIF('Test Cases'!$E$2:$E$174,"*"&amp;A58&amp;"*")</f>
        <v/>
      </c>
      <c r="E58" s="31">
        <f>IF(D58&gt;0,"Covered","GAP")</f>
        <v/>
      </c>
    </row>
    <row r="59" ht="15" customHeight="1" s="23">
      <c r="A59" s="32" t="inlineStr">
        <is>
          <t>WF-V02</t>
        </is>
      </c>
      <c r="B59" s="32" t="inlineStr">
        <is>
          <t>Draft application can be resumed with saved data</t>
        </is>
      </c>
      <c r="C59" s="32" t="inlineStr">
        <is>
          <t>TC-WF-02</t>
        </is>
      </c>
      <c r="D59" s="31">
        <f>COUNTIF('Test Cases'!$E$2:$E$174,"*"&amp;A59&amp;"*")</f>
        <v/>
      </c>
      <c r="E59" s="31">
        <f>IF(D59&gt;0,"Covered","GAP")</f>
        <v/>
      </c>
    </row>
    <row r="60" ht="15" customHeight="1" s="23">
      <c r="A60" s="32" t="inlineStr">
        <is>
          <t>WF-V03</t>
        </is>
      </c>
      <c r="B60" s="32" t="inlineStr">
        <is>
          <t>Valid application can be submitted successfully</t>
        </is>
      </c>
      <c r="C60" s="32" t="inlineStr">
        <is>
          <t>TC-WF-03</t>
        </is>
      </c>
      <c r="D60" s="31">
        <f>COUNTIF('Test Cases'!$E$2:$E$174,"*"&amp;A60&amp;"*")</f>
        <v/>
      </c>
      <c r="E60" s="31">
        <f>IF(D60&gt;0,"Covered","GAP")</f>
        <v/>
      </c>
    </row>
    <row r="61" ht="15" customHeight="1" s="23">
      <c r="A61" s="32" t="inlineStr">
        <is>
          <t>WF-V04</t>
        </is>
      </c>
      <c r="B61" s="32" t="inlineStr">
        <is>
          <t>Submitted application becomes read-only</t>
        </is>
      </c>
      <c r="C61" s="32" t="inlineStr">
        <is>
          <t>TC-WF-04</t>
        </is>
      </c>
      <c r="D61" s="31">
        <f>COUNTIF('Test Cases'!$E$2:$E$174,"*"&amp;A61&amp;"*")</f>
        <v/>
      </c>
      <c r="E61" s="31">
        <f>IF(D61&gt;0,"Covered","GAP")</f>
        <v/>
      </c>
    </row>
    <row r="62" ht="15" customHeight="1" s="23">
      <c r="A62" s="32" t="inlineStr">
        <is>
          <t>WF-V05</t>
        </is>
      </c>
      <c r="B62" s="32" t="inlineStr">
        <is>
          <t>Confirmation email simulation/status message appears after submission</t>
        </is>
      </c>
      <c r="C62" s="32" t="inlineStr">
        <is>
          <t>TC-WF-05</t>
        </is>
      </c>
      <c r="D62" s="31">
        <f>COUNTIF('Test Cases'!$E$2:$E$174,"*"&amp;A62&amp;"*")</f>
        <v/>
      </c>
      <c r="E62" s="31">
        <f>IF(D62&gt;0,"Covered","GAP")</f>
        <v/>
      </c>
    </row>
    <row r="63" ht="15" customHeight="1" s="23">
      <c r="A63" s="32" t="inlineStr">
        <is>
          <t>WF-V06</t>
        </is>
      </c>
      <c r="B63" s="32" t="inlineStr">
        <is>
          <t>Dashboard status updates after submission</t>
        </is>
      </c>
      <c r="C63" s="32" t="inlineStr">
        <is>
          <t>TC-WF-06</t>
        </is>
      </c>
      <c r="D63" s="31">
        <f>COUNTIF('Test Cases'!$E$2:$E$174,"*"&amp;A63&amp;"*")</f>
        <v/>
      </c>
      <c r="E63" s="31">
        <f>IF(D63&gt;0,"Covered","GAP")</f>
        <v/>
      </c>
    </row>
    <row r="64" ht="15" customHeight="1" s="23">
      <c r="A64" s="32" t="inlineStr">
        <is>
          <t>WF-V07</t>
        </is>
      </c>
      <c r="B64" s="32" t="inlineStr">
        <is>
          <t>Application detail status matches API response</t>
        </is>
      </c>
      <c r="C64" s="32" t="inlineStr">
        <is>
          <t>TC-WF-07</t>
        </is>
      </c>
      <c r="D64" s="31">
        <f>COUNTIF('Test Cases'!$E$2:$E$174,"*"&amp;A64&amp;"*")</f>
        <v/>
      </c>
      <c r="E64" s="31">
        <f>IF(D64&gt;0,"Covered","GAP")</f>
        <v/>
      </c>
    </row>
    <row r="65" ht="15" customHeight="1" s="23">
      <c r="A65" s="32" t="inlineStr">
        <is>
          <t>API-V01</t>
        </is>
      </c>
      <c r="B65" s="32" t="inlineStr">
        <is>
          <t>Products API returns 200 and expected schema</t>
        </is>
      </c>
      <c r="C65" s="32" t="inlineStr">
        <is>
          <t>TC-API-01</t>
        </is>
      </c>
      <c r="D65" s="31">
        <f>COUNTIF('Test Cases'!$E$2:$E$174,"*"&amp;A65&amp;"*")</f>
        <v/>
      </c>
      <c r="E65" s="31">
        <f>IF(D65&gt;0,"Covered","GAP")</f>
        <v/>
      </c>
    </row>
    <row r="66" ht="15" customHeight="1" s="23">
      <c r="A66" s="32" t="inlineStr">
        <is>
          <t>API-V02</t>
        </is>
      </c>
      <c r="B66" s="32" t="inlineStr">
        <is>
          <t>Application API requires authorization</t>
        </is>
      </c>
      <c r="C66" s="32" t="inlineStr">
        <is>
          <t>TC-API-02</t>
        </is>
      </c>
      <c r="D66" s="31">
        <f>COUNTIF('Test Cases'!$E$2:$E$174,"*"&amp;A66&amp;"*")</f>
        <v/>
      </c>
      <c r="E66" s="31">
        <f>IF(D66&gt;0,"Covered","GAP")</f>
        <v/>
      </c>
    </row>
    <row r="67" ht="15" customHeight="1" s="23">
      <c r="A67" s="32" t="inlineStr">
        <is>
          <t>API-V03</t>
        </is>
      </c>
      <c r="B67" s="32" t="inlineStr">
        <is>
          <t>Client API rejects invalid DOB</t>
        </is>
      </c>
      <c r="C67" s="32" t="inlineStr">
        <is>
          <t>TC-API-03</t>
        </is>
      </c>
      <c r="D67" s="31">
        <f>COUNTIF('Test Cases'!$E$2:$E$174,"*"&amp;A67&amp;"*")</f>
        <v/>
      </c>
      <c r="E67" s="31">
        <f>IF(D67&gt;0,"Covered","GAP")</f>
        <v/>
      </c>
    </row>
    <row r="68" ht="15" customHeight="1" s="23">
      <c r="A68" s="32" t="inlineStr">
        <is>
          <t>API-V04</t>
        </is>
      </c>
      <c r="B68" s="32" t="inlineStr">
        <is>
          <t>Validation API returns beneficiary allocation error</t>
        </is>
      </c>
      <c r="C68" s="32" t="inlineStr">
        <is>
          <t>TC-API-04</t>
        </is>
      </c>
      <c r="D68" s="31">
        <f>COUNTIF('Test Cases'!$E$2:$E$174,"*"&amp;A68&amp;"*")</f>
        <v/>
      </c>
      <c r="E68" s="31">
        <f>IF(D68&gt;0,"Covered","GAP")</f>
        <v/>
      </c>
    </row>
    <row r="69" ht="15" customHeight="1" s="23">
      <c r="A69" s="32" t="inlineStr">
        <is>
          <t>API-V05</t>
        </is>
      </c>
      <c r="B69" s="32" t="inlineStr">
        <is>
          <t>Submission API rejects incomplete application</t>
        </is>
      </c>
      <c r="C69" s="32" t="inlineStr">
        <is>
          <t>TC-API-05</t>
        </is>
      </c>
      <c r="D69" s="31">
        <f>COUNTIF('Test Cases'!$E$2:$E$174,"*"&amp;A69&amp;"*")</f>
        <v/>
      </c>
      <c r="E69" s="31">
        <f>IF(D69&gt;0,"Covered","GAP")</f>
        <v/>
      </c>
    </row>
    <row r="70" ht="15" customHeight="1" s="23">
      <c r="A70" s="32" t="inlineStr">
        <is>
          <t>API-V06</t>
        </is>
      </c>
      <c r="B70" s="32" t="inlineStr">
        <is>
          <t>Application status API matches dashboard</t>
        </is>
      </c>
      <c r="C70" s="32" t="inlineStr">
        <is>
          <t>TC-API-06</t>
        </is>
      </c>
      <c r="D70" s="31">
        <f>COUNTIF('Test Cases'!$E$2:$E$174,"*"&amp;A70&amp;"*")</f>
        <v/>
      </c>
      <c r="E70" s="31">
        <f>IF(D70&gt;0,"Covered","GAP")</f>
        <v/>
      </c>
    </row>
    <row r="71" ht="15" customHeight="1" s="23">
      <c r="A71" s="32" t="inlineStr">
        <is>
          <t>API-V07</t>
        </is>
      </c>
      <c r="B71" s="32" t="inlineStr">
        <is>
          <t>Product API supports product detail retrieval</t>
        </is>
      </c>
      <c r="C71" s="32" t="inlineStr">
        <is>
          <t>TC-API-07</t>
        </is>
      </c>
      <c r="D71" s="31">
        <f>COUNTIF('Test Cases'!$E$2:$E$174,"*"&amp;A71&amp;"*")</f>
        <v/>
      </c>
      <c r="E71" s="31">
        <f>IF(D71&gt;0,"Covered","GAP")</f>
        <v/>
      </c>
    </row>
    <row r="72" ht="15" customHeight="1" s="23">
      <c r="A72" s="32" t="inlineStr">
        <is>
          <t>API-V08</t>
        </is>
      </c>
      <c r="B72" s="32" t="inlineStr">
        <is>
          <t>Applications API returns only logged-in agent records</t>
        </is>
      </c>
      <c r="C72" s="32" t="inlineStr">
        <is>
          <t>TC-API-08</t>
        </is>
      </c>
      <c r="D72" s="31">
        <f>COUNTIF('Test Cases'!$E$2:$E$174,"*"&amp;A72&amp;"*")</f>
        <v/>
      </c>
      <c r="E72" s="31">
        <f>IF(D72&gt;0,"Covered","GAP")</f>
        <v/>
      </c>
    </row>
    <row r="74" ht="15" customHeight="1" s="23">
      <c r="B74" s="25" t="inlineStr">
        <is>
          <t>Validation IDs without a test case:</t>
        </is>
      </c>
      <c r="D74" s="25">
        <f>COUNTIF(E4:E72,"GAP")</f>
        <v/>
      </c>
    </row>
  </sheetData>
  <autoFilter ref="A3:E72"/>
  <conditionalFormatting sqref="E4:E72">
    <cfRule type="cellIs" rank="0" priority="2" equalAverage="0" operator="equal" aboveAverage="0" dxfId="12" text="" percent="0" bottom="0">
      <formula>"GAP"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2" min="1" max="1"/>
    <col width="22" customWidth="1" style="22" min="2" max="2"/>
    <col width="46" customWidth="1" style="22" min="3" max="3"/>
    <col width="22" customWidth="1" style="22" min="4" max="4"/>
  </cols>
  <sheetData>
    <row r="1" ht="17.35" customHeight="1" s="23">
      <c r="A1" s="24" t="inlineStr">
        <is>
          <t>Controlled Test Data (generated per run; never hard-code in specs)</t>
        </is>
      </c>
    </row>
    <row r="2" ht="15" customHeight="1" s="23">
      <c r="A2" s="28" t="inlineStr">
        <is>
          <t>Boundary DOBs are formulas relative to today so the sheet always shows the dates for the day you read it. dataGenerator.ts must compute the same values at run time.</t>
        </is>
      </c>
    </row>
    <row r="4" ht="15" customHeight="1" s="23">
      <c r="A4" s="30" t="inlineStr">
        <is>
          <t>Dataset</t>
        </is>
      </c>
      <c r="B4" s="30" t="inlineStr">
        <is>
          <t>Date of Birth (calculated)</t>
        </is>
      </c>
      <c r="C4" s="30" t="inlineStr">
        <is>
          <t>Expected Outcome</t>
        </is>
      </c>
      <c r="D4" s="30" t="inlineStr">
        <is>
          <t>Used By</t>
        </is>
      </c>
    </row>
    <row r="5" ht="23.85" customHeight="1" s="23">
      <c r="A5" s="32" t="inlineStr">
        <is>
          <t>Underage - 17 years 364 days</t>
        </is>
      </c>
      <c r="B5" s="40">
        <f>EDATE(TODAY(),-216)+1</f>
        <v/>
      </c>
      <c r="C5" s="32" t="inlineStr">
        <is>
          <t>Rejected (below 18)</t>
        </is>
      </c>
      <c r="D5" s="32" t="inlineStr">
        <is>
          <t>TC-CLI-03, TC-API-03, TC-BEN-05 (as minor)</t>
        </is>
      </c>
    </row>
    <row r="6" ht="15" customHeight="1" s="23">
      <c r="A6" s="32" t="inlineStr">
        <is>
          <t>Exactly 18 years</t>
        </is>
      </c>
      <c r="B6" s="40">
        <f>EDATE(TODAY(),-216)</f>
        <v/>
      </c>
      <c r="C6" s="32" t="inlineStr">
        <is>
          <t>Accepted (confirm inclusive)</t>
        </is>
      </c>
      <c r="D6" s="32" t="inlineStr">
        <is>
          <t>TC-CLI-06</t>
        </is>
      </c>
    </row>
    <row r="7" ht="15" customHeight="1" s="23">
      <c r="A7" s="32" t="inlineStr">
        <is>
          <t>Typical adult - 40 years</t>
        </is>
      </c>
      <c r="B7" s="40">
        <f>EDATE(TODAY(),-480)</f>
        <v/>
      </c>
      <c r="C7" s="32" t="inlineStr">
        <is>
          <t>Accepted</t>
        </is>
      </c>
      <c r="D7" s="32" t="inlineStr">
        <is>
          <t>TC-CLI-01, TC-WF-03</t>
        </is>
      </c>
    </row>
    <row r="8" ht="15" customHeight="1" s="23">
      <c r="A8" s="32" t="inlineStr">
        <is>
          <t>Exactly 65 years</t>
        </is>
      </c>
      <c r="B8" s="40">
        <f>EDATE(TODAY(),-780)</f>
        <v/>
      </c>
      <c r="C8" s="32" t="inlineStr">
        <is>
          <t>Accepted (confirm inclusive)</t>
        </is>
      </c>
      <c r="D8" s="32" t="inlineStr">
        <is>
          <t>TC-CLI-06</t>
        </is>
      </c>
    </row>
    <row r="9" ht="15" customHeight="1" s="23">
      <c r="A9" s="32" t="inlineStr">
        <is>
          <t>Over 65 - 65 years + 1 day</t>
        </is>
      </c>
      <c r="B9" s="40">
        <f>EDATE(TODAY(),-780)-1</f>
        <v/>
      </c>
      <c r="C9" s="32" t="inlineStr">
        <is>
          <t>Rejected (above 65)</t>
        </is>
      </c>
      <c r="D9" s="32" t="inlineStr">
        <is>
          <t>TC-CLI-04</t>
        </is>
      </c>
    </row>
    <row r="10" ht="15" customHeight="1" s="23">
      <c r="A10" s="32" t="inlineStr">
        <is>
          <t>Future date - tomorrow</t>
        </is>
      </c>
      <c r="B10" s="40">
        <f>TODAY()+1</f>
        <v/>
      </c>
      <c r="C10" s="32" t="inlineStr">
        <is>
          <t>Rejected</t>
        </is>
      </c>
      <c r="D10" s="32" t="inlineStr">
        <is>
          <t>TC-CLI-05, TC-API-03</t>
        </is>
      </c>
    </row>
    <row r="12" ht="15" customHeight="1" s="23">
      <c r="A12" s="25" t="inlineStr">
        <is>
          <t>Allocation datasets</t>
        </is>
      </c>
    </row>
    <row r="13" ht="15" customHeight="1" s="23">
      <c r="A13" s="30" t="inlineStr">
        <is>
          <t>Scenario</t>
        </is>
      </c>
      <c r="B13" s="30" t="inlineStr">
        <is>
          <t>Primary %</t>
        </is>
      </c>
      <c r="C13" s="30" t="inlineStr">
        <is>
          <t>Secondary %</t>
        </is>
      </c>
      <c r="D13" s="30" t="inlineStr">
        <is>
          <t>Expected</t>
        </is>
      </c>
    </row>
    <row r="14" ht="15" customHeight="1" s="23">
      <c r="A14" s="32" t="inlineStr">
        <is>
          <t>Exact</t>
        </is>
      </c>
      <c r="B14" s="32" t="inlineStr">
        <is>
          <t>100</t>
        </is>
      </c>
      <c r="C14" s="32" t="inlineStr">
        <is>
          <t>100</t>
        </is>
      </c>
      <c r="D14" s="32" t="inlineStr">
        <is>
          <t>Accepted</t>
        </is>
      </c>
    </row>
    <row r="15" ht="15" customHeight="1" s="23">
      <c r="A15" s="32" t="inlineStr">
        <is>
          <t>Under</t>
        </is>
      </c>
      <c r="B15" s="32" t="inlineStr">
        <is>
          <t>99</t>
        </is>
      </c>
      <c r="C15" s="32" t="inlineStr">
        <is>
          <t>-</t>
        </is>
      </c>
      <c r="D15" s="32" t="inlineStr">
        <is>
          <t>Blocked</t>
        </is>
      </c>
    </row>
    <row r="16" ht="15" customHeight="1" s="23">
      <c r="A16" s="32" t="inlineStr">
        <is>
          <t>Over</t>
        </is>
      </c>
      <c r="B16" s="32" t="inlineStr">
        <is>
          <t>101</t>
        </is>
      </c>
      <c r="C16" s="32" t="inlineStr">
        <is>
          <t>-</t>
        </is>
      </c>
      <c r="D16" s="32" t="inlineStr">
        <is>
          <t>Blocked</t>
        </is>
      </c>
    </row>
    <row r="17" ht="23.85" customHeight="1" s="23">
      <c r="A17" s="32" t="inlineStr">
        <is>
          <t>Split 60/40</t>
        </is>
      </c>
      <c r="B17" s="32" t="inlineStr">
        <is>
          <t>60 + 40</t>
        </is>
      </c>
      <c r="C17" s="32" t="inlineStr">
        <is>
          <t>-</t>
        </is>
      </c>
      <c r="D17" s="32" t="inlineStr">
        <is>
          <t>Accepted; removing 40 leaves 60 -&gt; error</t>
        </is>
      </c>
    </row>
    <row r="18" ht="15" customHeight="1" s="23">
      <c r="A18" s="32" t="inlineStr">
        <is>
          <t>Secondary short</t>
        </is>
      </c>
      <c r="B18" s="32" t="inlineStr">
        <is>
          <t>100</t>
        </is>
      </c>
      <c r="C18" s="32" t="inlineStr">
        <is>
          <t>90</t>
        </is>
      </c>
      <c r="D18" s="32" t="inlineStr">
        <is>
          <t>Blocked (secondary total)</t>
        </is>
      </c>
    </row>
    <row r="21" ht="15" customHeight="1" s="23">
      <c r="A21" s="25" t="inlineStr">
        <is>
          <t>Upload files (fixtures/files)</t>
        </is>
      </c>
    </row>
    <row r="22" ht="15" customHeight="1" s="23">
      <c r="A22" s="30" t="inlineStr">
        <is>
          <t>File</t>
        </is>
      </c>
      <c r="B22" s="30" t="inlineStr">
        <is>
          <t>Type / Size</t>
        </is>
      </c>
      <c r="C22" s="30" t="inlineStr">
        <is>
          <t>Expected</t>
        </is>
      </c>
      <c r="D22" s="30" t="inlineStr">
        <is>
          <t>Used By</t>
        </is>
      </c>
    </row>
    <row r="23" ht="15" customHeight="1" s="23">
      <c r="A23" s="32" t="inlineStr">
        <is>
          <t>valid.pdf</t>
        </is>
      </c>
      <c r="B23" s="32" t="inlineStr">
        <is>
          <t>PDF, ~50 KB</t>
        </is>
      </c>
      <c r="C23" s="32" t="inlineStr">
        <is>
          <t>Accepted</t>
        </is>
      </c>
      <c r="D23" s="32" t="inlineStr">
        <is>
          <t>TC-DOC-01</t>
        </is>
      </c>
    </row>
    <row r="24" ht="15" customHeight="1" s="23">
      <c r="A24" s="32" t="inlineStr">
        <is>
          <t>valid.jpg</t>
        </is>
      </c>
      <c r="B24" s="32" t="inlineStr">
        <is>
          <t>JPG, ~50 KB</t>
        </is>
      </c>
      <c r="C24" s="32" t="inlineStr">
        <is>
          <t>Accepted</t>
        </is>
      </c>
      <c r="D24" s="32" t="inlineStr">
        <is>
          <t>TC-DOC-01</t>
        </is>
      </c>
    </row>
    <row r="25" ht="15" customHeight="1" s="23">
      <c r="A25" s="32" t="inlineStr">
        <is>
          <t>valid.png</t>
        </is>
      </c>
      <c r="B25" s="32" t="inlineStr">
        <is>
          <t>PNG, ~50 KB</t>
        </is>
      </c>
      <c r="C25" s="32" t="inlineStr">
        <is>
          <t>Accepted</t>
        </is>
      </c>
      <c r="D25" s="32" t="inlineStr">
        <is>
          <t>TC-DOC-01</t>
        </is>
      </c>
    </row>
    <row r="26" ht="15" customHeight="1" s="23">
      <c r="A26" s="32" t="inlineStr">
        <is>
          <t>invalid.exe</t>
        </is>
      </c>
      <c r="B26" s="32" t="inlineStr">
        <is>
          <t>EXE (renamed dummy)</t>
        </is>
      </c>
      <c r="C26" s="32" t="inlineStr">
        <is>
          <t>Rejected - type</t>
        </is>
      </c>
      <c r="D26" s="32" t="inlineStr">
        <is>
          <t>TC-KYC-03, TC-DOC-02</t>
        </is>
      </c>
    </row>
    <row r="27" ht="15" customHeight="1" s="23">
      <c r="A27" s="32" t="inlineStr">
        <is>
          <t>invalid.txt</t>
        </is>
      </c>
      <c r="B27" s="32" t="inlineStr">
        <is>
          <t>TXT</t>
        </is>
      </c>
      <c r="C27" s="32" t="inlineStr">
        <is>
          <t>Rejected - type</t>
        </is>
      </c>
      <c r="D27" s="32" t="inlineStr">
        <is>
          <t>TC-KYC-03, TC-DOC-02</t>
        </is>
      </c>
    </row>
    <row r="28" ht="23.85" customHeight="1" s="23">
      <c r="A28" s="32" t="inlineStr">
        <is>
          <t>under-limit.pdf</t>
        </is>
      </c>
      <c r="B28" s="32" t="inlineStr">
        <is>
          <t>max size - 1 byte (CONFIRM max)</t>
        </is>
      </c>
      <c r="C28" s="32" t="inlineStr">
        <is>
          <t>Accepted</t>
        </is>
      </c>
      <c r="D28" s="32" t="inlineStr">
        <is>
          <t>TC-DOC-03</t>
        </is>
      </c>
    </row>
    <row r="29" ht="23.85" customHeight="1" s="23">
      <c r="A29" s="32" t="inlineStr">
        <is>
          <t>over-limit.pdf</t>
        </is>
      </c>
      <c r="B29" s="32" t="inlineStr">
        <is>
          <t>max size + 1 byte (CONFIRM max)</t>
        </is>
      </c>
      <c r="C29" s="32" t="inlineStr">
        <is>
          <t>Rejected - size</t>
        </is>
      </c>
      <c r="D29" s="32" t="inlineStr">
        <is>
          <t>TC-DOC-03</t>
        </is>
      </c>
    </row>
    <row r="32" ht="15" customHeight="1" s="23">
      <c r="A32" s="25" t="inlineStr">
        <is>
          <t>Environment variables (.env.example placeholders - no real values)</t>
        </is>
      </c>
    </row>
    <row r="33" ht="15" customHeight="1" s="23">
      <c r="A33" s="30" t="inlineStr">
        <is>
          <t>Variable</t>
        </is>
      </c>
      <c r="B33" s="30" t="inlineStr">
        <is>
          <t>Purpose</t>
        </is>
      </c>
      <c r="C33" s="30" t="inlineStr">
        <is>
          <t>Placeholder</t>
        </is>
      </c>
      <c r="D33" s="30" t="n"/>
    </row>
    <row r="34" ht="15" customHeight="1" s="23">
      <c r="A34" s="32" t="inlineStr">
        <is>
          <t>BASE_URL</t>
        </is>
      </c>
      <c r="B34" s="32" t="inlineStr">
        <is>
          <t>App base URL</t>
        </is>
      </c>
      <c r="C34" s="32" t="inlineStr">
        <is>
          <t>http://127.0.0.1:8081</t>
        </is>
      </c>
    </row>
    <row r="35" ht="15" customHeight="1" s="23">
      <c r="A35" s="32" t="inlineStr">
        <is>
          <t>APP_NAME</t>
        </is>
      </c>
      <c r="B35" s="32" t="inlineStr">
        <is>
          <t>insurance or finserve</t>
        </is>
      </c>
      <c r="C35" s="32" t="inlineStr">
        <is>
          <t>insurance</t>
        </is>
      </c>
    </row>
    <row r="36" ht="15" customHeight="1" s="23">
      <c r="A36" s="32" t="inlineStr">
        <is>
          <t>VALID_AGENT_USER / _PASS</t>
        </is>
      </c>
      <c r="B36" s="32" t="inlineStr">
        <is>
          <t>Happy path agent</t>
        </is>
      </c>
      <c r="C36" s="32" t="inlineStr">
        <is>
          <t>&lt;from seed data doc&gt;</t>
        </is>
      </c>
    </row>
    <row r="37" ht="15" customHeight="1" s="23">
      <c r="A37" s="32" t="inlineStr">
        <is>
          <t>SECOND_AGENT_USER / _PASS</t>
        </is>
      </c>
      <c r="B37" s="32" t="inlineStr">
        <is>
          <t>Data isolation</t>
        </is>
      </c>
      <c r="C37" s="32" t="inlineStr">
        <is>
          <t>&lt;from seed data doc&gt;</t>
        </is>
      </c>
    </row>
    <row r="38" ht="15" customHeight="1" s="23">
      <c r="A38" s="32" t="inlineStr">
        <is>
          <t>NEW_AGENT_USER / _PASS</t>
        </is>
      </c>
      <c r="B38" s="32" t="inlineStr">
        <is>
          <t>Empty dashboard</t>
        </is>
      </c>
      <c r="C38" s="32" t="inlineStr">
        <is>
          <t>&lt;from seed data doc&gt;</t>
        </is>
      </c>
    </row>
    <row r="39" ht="15" customHeight="1" s="23">
      <c r="A39" s="32" t="inlineStr">
        <is>
          <t>LOCKED_AGENT_USER / _PASS</t>
        </is>
      </c>
      <c r="B39" s="32" t="inlineStr">
        <is>
          <t>Locked message</t>
        </is>
      </c>
      <c r="C39" s="32" t="inlineStr">
        <is>
          <t>&lt;from seed data doc&gt;</t>
        </is>
      </c>
    </row>
    <row r="40" ht="23.85" customHeight="1" s="23">
      <c r="A40" s="32" t="inlineStr">
        <is>
          <t>LOCKOUT_TEST_AGENT_USER / _PASS</t>
        </is>
      </c>
      <c r="B40" s="32" t="inlineStr">
        <is>
          <t>Reserved for 5-attempt lock test</t>
        </is>
      </c>
      <c r="C40" s="32" t="inlineStr">
        <is>
          <t>&lt;from seed data doc&gt;</t>
        </is>
      </c>
    </row>
    <row r="41" ht="15" customHeight="1" s="23">
      <c r="A41" s="32" t="inlineStr">
        <is>
          <t>MFA_AGENT_USER / _PASS / MFA_OTP</t>
        </is>
      </c>
      <c r="B41" s="32" t="inlineStr">
        <is>
          <t>OTP login</t>
        </is>
      </c>
      <c r="C41" s="32" t="inlineStr">
        <is>
          <t>&lt;from seed data doc&gt;</t>
        </is>
      </c>
    </row>
    <row r="42" ht="15" customHeight="1" s="23">
      <c r="A42" s="32" t="inlineStr">
        <is>
          <t>API_BASE_URL</t>
        </is>
      </c>
      <c r="B42" s="32" t="inlineStr">
        <is>
          <t>API root</t>
        </is>
      </c>
      <c r="C42" s="32" t="inlineStr">
        <is>
          <t>${BASE_URL}/api</t>
        </is>
      </c>
    </row>
    <row r="43" ht="23.85" customHeight="1" s="23">
      <c r="A43" s="32" t="inlineStr">
        <is>
          <t>SEEDED_DRAFT_ID / SEEDED_SUBMITTED_ID</t>
        </is>
      </c>
      <c r="B43" s="32" t="inlineStr">
        <is>
          <t>Resume and read-only checks</t>
        </is>
      </c>
      <c r="C43" s="32" t="inlineStr">
        <is>
          <t>&lt;from seed data doc&gt;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2" min="1" max="1"/>
    <col width="48" customWidth="1" style="22" min="2" max="2"/>
    <col width="40" customWidth="1" style="22" min="3" max="3"/>
    <col width="30" customWidth="1" style="22" min="4" max="4"/>
    <col width="36" customWidth="1" style="22" min="5" max="5"/>
    <col width="12" customWidth="1" style="22" min="6" max="6"/>
  </cols>
  <sheetData>
    <row r="1" ht="17.35" customHeight="1" s="23">
      <c r="A1" s="24" t="inlineStr">
        <is>
          <t>Values to confirm from the running app / mentor before asserting exact results</t>
        </is>
      </c>
    </row>
    <row r="3" ht="15" customHeight="1" s="23">
      <c r="A3" s="30" t="inlineStr">
        <is>
          <t>#</t>
        </is>
      </c>
      <c r="B3" s="30" t="inlineStr">
        <is>
          <t>Item to confirm</t>
        </is>
      </c>
      <c r="C3" s="30" t="inlineStr">
        <is>
          <t>Why it matters</t>
        </is>
      </c>
      <c r="D3" s="30" t="inlineStr">
        <is>
          <t>Affected Test Cases</t>
        </is>
      </c>
      <c r="E3" s="30" t="inlineStr">
        <is>
          <t>Resolution (fill in)</t>
        </is>
      </c>
      <c r="F3" s="30" t="inlineStr">
        <is>
          <t>Status</t>
        </is>
      </c>
    </row>
    <row r="4" ht="15" customHeight="1" s="23">
      <c r="A4" s="31" t="n">
        <v>1</v>
      </c>
      <c r="B4" s="32" t="inlineStr">
        <is>
          <t>Insurance app port (8081 vs 8082) and base URL</t>
        </is>
      </c>
      <c r="C4" s="32" t="inlineStr">
        <is>
          <t>FinServe app also runs in the lab</t>
        </is>
      </c>
      <c r="D4" s="32" t="inlineStr">
        <is>
          <t>All</t>
        </is>
      </c>
      <c r="E4" s="41" t="n"/>
      <c r="F4" s="31" t="inlineStr">
        <is>
          <t>Open</t>
        </is>
      </c>
    </row>
    <row r="5" ht="23.85" customHeight="1" s="23">
      <c r="A5" s="31" t="n">
        <v>2</v>
      </c>
      <c r="B5" s="32" t="inlineStr">
        <is>
          <t>Seed users, passwords, MFA OTP value, lockout reset method</t>
        </is>
      </c>
      <c r="C5" s="32" t="inlineStr">
        <is>
          <t>Auth and isolation tests</t>
        </is>
      </c>
      <c r="D5" s="32" t="inlineStr">
        <is>
          <t>TC-AUTH-*, TC-DASH-02/03, TC-API-08</t>
        </is>
      </c>
      <c r="E5" s="41" t="n"/>
      <c r="F5" s="31" t="inlineStr">
        <is>
          <t>Open</t>
        </is>
      </c>
    </row>
    <row r="6" ht="23.85" customHeight="1" s="23">
      <c r="A6" s="31" t="n">
        <v>3</v>
      </c>
      <c r="B6" s="32" t="inlineStr">
        <is>
          <t>Are ages 18 and 65 inclusive? Timezone for age calculation?</t>
        </is>
      </c>
      <c r="C6" s="32" t="inlineStr">
        <is>
          <t>Boundary assertions</t>
        </is>
      </c>
      <c r="D6" s="32" t="inlineStr">
        <is>
          <t>TC-CLI-03/04/06</t>
        </is>
      </c>
      <c r="E6" s="41" t="n"/>
      <c r="F6" s="31" t="inlineStr">
        <is>
          <t>Open</t>
        </is>
      </c>
    </row>
    <row r="7" ht="15" customHeight="1" s="23">
      <c r="A7" s="31" t="n">
        <v>4</v>
      </c>
      <c r="B7" s="32" t="inlineStr">
        <is>
          <t>Password policy and failed-attempt/lock-reset rules</t>
        </is>
      </c>
      <c r="C7" s="32" t="inlineStr">
        <is>
          <t>Exact weak-password set</t>
        </is>
      </c>
      <c r="D7" s="32" t="inlineStr">
        <is>
          <t>TC-AUTH-07/08/11</t>
        </is>
      </c>
      <c r="E7" s="41" t="n"/>
      <c r="F7" s="31" t="inlineStr">
        <is>
          <t>Open</t>
        </is>
      </c>
    </row>
    <row r="8" ht="23.85" customHeight="1" s="23">
      <c r="A8" s="31" t="n">
        <v>5</v>
      </c>
      <c r="B8" s="32" t="inlineStr">
        <is>
          <t>Product face value min/max, payment and policy terms, active vs inactive products</t>
        </is>
      </c>
      <c r="C8" s="32" t="inlineStr">
        <is>
          <t>Boundary values</t>
        </is>
      </c>
      <c r="D8" s="32" t="inlineStr">
        <is>
          <t>TC-PROD-*</t>
        </is>
      </c>
      <c r="E8" s="41" t="n"/>
      <c r="F8" s="31" t="inlineStr">
        <is>
          <t>Open</t>
        </is>
      </c>
    </row>
    <row r="9" ht="15" customHeight="1" s="23">
      <c r="A9" s="31" t="n">
        <v>6</v>
      </c>
      <c r="B9" s="32" t="inlineStr">
        <is>
          <t>Premium formula/rounding or API field exposing premium</t>
        </is>
      </c>
      <c r="C9" s="32" t="inlineStr">
        <is>
          <t>Recalculation assertions</t>
        </is>
      </c>
      <c r="D9" s="32" t="inlineStr">
        <is>
          <t>TC-PROD-05/06, TC-RID-07</t>
        </is>
      </c>
      <c r="E9" s="41" t="n"/>
      <c r="F9" s="31" t="inlineStr">
        <is>
          <t>Open</t>
        </is>
      </c>
    </row>
    <row r="10" ht="23.85" customHeight="1" s="23">
      <c r="A10" s="31" t="n">
        <v>7</v>
      </c>
      <c r="B10" s="32" t="inlineStr">
        <is>
          <t>Rider age limits, max rider count, coverage caps, waiver pair</t>
        </is>
      </c>
      <c r="C10" s="32" t="inlineStr">
        <is>
          <t>Rider decision table</t>
        </is>
      </c>
      <c r="D10" s="32" t="inlineStr">
        <is>
          <t>TC-RID-*</t>
        </is>
      </c>
      <c r="E10" s="41" t="n"/>
      <c r="F10" s="31" t="inlineStr">
        <is>
          <t>Open</t>
        </is>
      </c>
    </row>
    <row r="11" ht="15" customHeight="1" s="23">
      <c r="A11" s="31" t="n">
        <v>8</v>
      </c>
      <c r="B11" s="32" t="inlineStr">
        <is>
          <t>ID types and number formats; SSN mask format</t>
        </is>
      </c>
      <c r="C11" s="32" t="inlineStr">
        <is>
          <t>KYC validation</t>
        </is>
      </c>
      <c r="D11" s="32" t="inlineStr">
        <is>
          <t>TC-KYC-01/02/07</t>
        </is>
      </c>
      <c r="E11" s="41" t="n"/>
      <c r="F11" s="31" t="inlineStr">
        <is>
          <t>Open</t>
        </is>
      </c>
    </row>
    <row r="12" ht="15" customHeight="1" s="23">
      <c r="A12" s="31" t="n">
        <v>9</v>
      </c>
      <c r="B12" s="32" t="inlineStr">
        <is>
          <t>Affordability rule (income vs premium)</t>
        </is>
      </c>
      <c r="C12" s="32" t="inlineStr">
        <is>
          <t>Warning vs block</t>
        </is>
      </c>
      <c r="D12" s="32" t="inlineStr">
        <is>
          <t>TC-KYC-05</t>
        </is>
      </c>
      <c r="E12" s="41" t="n"/>
      <c r="F12" s="31" t="inlineStr">
        <is>
          <t>Open</t>
        </is>
      </c>
    </row>
    <row r="13" ht="23.85" customHeight="1" s="23">
      <c r="A13" s="31" t="n">
        <v>10</v>
      </c>
      <c r="B13" s="32" t="inlineStr">
        <is>
          <t>Allowed file types, max file size, mandatory documents by scenario</t>
        </is>
      </c>
      <c r="C13" s="32" t="inlineStr">
        <is>
          <t>Upload tests</t>
        </is>
      </c>
      <c r="D13" s="32" t="inlineStr">
        <is>
          <t>TC-KYC-03, TC-DOC-*</t>
        </is>
      </c>
      <c r="E13" s="41" t="n"/>
      <c r="F13" s="31" t="inlineStr">
        <is>
          <t>Open</t>
        </is>
      </c>
    </row>
    <row r="14" ht="23.85" customHeight="1" s="23">
      <c r="A14" s="31" t="n">
        <v>11</v>
      </c>
      <c r="B14" s="32" t="inlineStr">
        <is>
          <t>Duplicate beneficiary exact key and irrevocable modal wording</t>
        </is>
      </c>
      <c r="C14" s="32" t="inlineStr">
        <is>
          <t>Duplicate/special tests</t>
        </is>
      </c>
      <c r="D14" s="32" t="inlineStr">
        <is>
          <t>TC-BEN-08/10</t>
        </is>
      </c>
      <c r="E14" s="41" t="n"/>
      <c r="F14" s="31" t="inlineStr">
        <is>
          <t>Open</t>
        </is>
      </c>
    </row>
    <row r="15" ht="15" customHeight="1" s="23">
      <c r="A15" s="31" t="n">
        <v>12</v>
      </c>
      <c r="B15" s="32" t="inlineStr">
        <is>
          <t>Seeded defect catalog / defect codes</t>
        </is>
      </c>
      <c r="C15" s="32" t="inlineStr">
        <is>
          <t>Replace descriptive defect links with codes</t>
        </is>
      </c>
      <c r="D15" s="32" t="inlineStr">
        <is>
          <t>All (column G)</t>
        </is>
      </c>
      <c r="E15" s="41" t="n"/>
      <c r="F15" s="31" t="inlineStr">
        <is>
          <t>Open</t>
        </is>
      </c>
    </row>
    <row r="16" ht="15" customHeight="1" s="23">
      <c r="A16" s="31" t="n">
        <v>13</v>
      </c>
      <c r="B16" s="32" t="inlineStr">
        <is>
          <t>Real data-testid / label names and API error structure</t>
        </is>
      </c>
      <c r="C16" s="32" t="inlineStr">
        <is>
          <t>Locators and API assertions</t>
        </is>
      </c>
      <c r="D16" s="32" t="inlineStr">
        <is>
          <t>All</t>
        </is>
      </c>
      <c r="E16" s="41" t="n"/>
      <c r="F16" s="31" t="inlineStr">
        <is>
          <t>Open</t>
        </is>
      </c>
    </row>
    <row r="17" ht="23.85" customHeight="1" s="23">
      <c r="A17" s="31" t="n">
        <v>14</v>
      </c>
      <c r="B17" s="32" t="inlineStr">
        <is>
          <t>Database access, schema and read-only credentials</t>
        </is>
      </c>
      <c r="C17" s="32" t="inlineStr">
        <is>
          <t>Persistence evidence</t>
        </is>
      </c>
      <c r="D17" s="32" t="inlineStr">
        <is>
          <t>TC-DASH-04, TC-WF-01/02, TC-WF-13</t>
        </is>
      </c>
      <c r="E17" s="41" t="n"/>
      <c r="F17" s="31" t="inlineStr">
        <is>
          <t>Open</t>
        </is>
      </c>
    </row>
    <row r="18" ht="15" customHeight="1" s="23">
      <c r="A18" s="31" t="n">
        <v>15</v>
      </c>
      <c r="B18" s="32" t="inlineStr">
        <is>
          <t>Session timeout duration and behavior with unsaved edits</t>
        </is>
      </c>
      <c r="C18" s="32" t="inlineStr">
        <is>
          <t>Expiry test design</t>
        </is>
      </c>
      <c r="D18" s="32" t="inlineStr">
        <is>
          <t>TC-AUTH-12</t>
        </is>
      </c>
      <c r="E18" s="41" t="n"/>
      <c r="F18" s="31" t="inlineStr">
        <is>
          <t>Open</t>
        </is>
      </c>
    </row>
    <row r="19" ht="15" customHeight="1" s="23">
      <c r="A19" s="31" t="n">
        <v>16</v>
      </c>
      <c r="B19" s="32" t="inlineStr">
        <is>
          <t>Pending-agent behavior and message</t>
        </is>
      </c>
      <c r="C19" s="32" t="inlineStr">
        <is>
          <t>Expected result wording</t>
        </is>
      </c>
      <c r="D19" s="32" t="inlineStr">
        <is>
          <t>TC-AUTH-13</t>
        </is>
      </c>
      <c r="E19" s="41" t="n"/>
      <c r="F19" s="31" t="inlineStr">
        <is>
          <t>Open</t>
        </is>
      </c>
    </row>
    <row r="20" ht="15" customHeight="1" s="23">
      <c r="A20" s="31" t="n">
        <v>17</v>
      </c>
      <c r="B20" s="32" t="inlineStr">
        <is>
          <t>Product age-eligibility ranges and term combinations</t>
        </is>
      </c>
      <c r="C20" s="32" t="inlineStr">
        <is>
          <t>Eligibility and term assertions</t>
        </is>
      </c>
      <c r="D20" s="32" t="inlineStr">
        <is>
          <t>TC-PROD-10/11</t>
        </is>
      </c>
      <c r="E20" s="41" t="n"/>
      <c r="F20" s="31" t="inlineStr">
        <is>
          <t>Open</t>
        </is>
      </c>
    </row>
    <row r="21" ht="15" customHeight="1" s="23">
      <c r="A21" s="31" t="n">
        <v>18</v>
      </c>
      <c r="B21" s="32" t="inlineStr">
        <is>
          <t>Rider dependency pairs and exclusive waiver pair</t>
        </is>
      </c>
      <c r="C21" s="32" t="inlineStr">
        <is>
          <t>Decision-table data</t>
        </is>
      </c>
      <c r="D21" s="32" t="inlineStr">
        <is>
          <t>TC-RID-05/08</t>
        </is>
      </c>
      <c r="E21" s="41" t="n"/>
      <c r="F21" s="31" t="inlineStr">
        <is>
          <t>Open</t>
        </is>
      </c>
    </row>
    <row r="22" ht="23.85" customHeight="1" s="23">
      <c r="A22" s="31" t="n">
        <v>19</v>
      </c>
      <c r="B22" s="32" t="inlineStr">
        <is>
          <t>ID issue/expiry validation rules; allocation decimal rule</t>
        </is>
      </c>
      <c r="C22" s="32" t="inlineStr">
        <is>
          <t>Boundary assertions</t>
        </is>
      </c>
      <c r="D22" s="32" t="inlineStr">
        <is>
          <t>TC-KYC-09, TC-BEN-13, TC-PROD-12</t>
        </is>
      </c>
      <c r="E22" s="41" t="n"/>
      <c r="F22" s="31" t="inlineStr">
        <is>
          <t>Open</t>
        </is>
      </c>
    </row>
    <row r="23" ht="23.85" customHeight="1" s="23">
      <c r="A23" s="31" t="n">
        <v>20</v>
      </c>
      <c r="B23" s="32" t="inlineStr">
        <is>
          <t>Dashboard and catalog search fields (name, reference, product)</t>
        </is>
      </c>
      <c r="C23" s="32" t="inlineStr">
        <is>
          <t>Search assertions</t>
        </is>
      </c>
      <c r="D23" s="32" t="inlineStr">
        <is>
          <t>TC-DASH-07, TC-PROD-13</t>
        </is>
      </c>
      <c r="E23" s="41" t="n"/>
      <c r="F23" s="31" t="inlineStr">
        <is>
          <t>Open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2" min="1" max="1"/>
    <col width="14" customWidth="1" style="22" min="2" max="2"/>
    <col width="58" customWidth="1" style="22" min="3" max="3"/>
    <col width="36" customWidth="1" style="22" min="4" max="4"/>
    <col width="46" customWidth="1" style="22" min="5" max="5"/>
    <col width="24" customWidth="1" style="22" min="6" max="6"/>
  </cols>
  <sheetData>
    <row r="1" ht="17.35" customHeight="1" s="23">
      <c r="A1" s="24" t="inlineStr">
        <is>
          <t>Reviewer Findings and Changes Applied (v2 review against Submission 2 documents)</t>
        </is>
      </c>
    </row>
    <row r="3" ht="15" customHeight="1" s="23">
      <c r="A3" s="30" t="inlineStr">
        <is>
          <t>#</t>
        </is>
      </c>
      <c r="B3" s="30" t="inlineStr">
        <is>
          <t>Type</t>
        </is>
      </c>
      <c r="C3" s="30" t="inlineStr">
        <is>
          <t>Finding</t>
        </is>
      </c>
      <c r="D3" s="30" t="inlineStr">
        <is>
          <t>Source requirement</t>
        </is>
      </c>
      <c r="E3" s="30" t="inlineStr">
        <is>
          <t>Action taken</t>
        </is>
      </c>
      <c r="F3" s="30" t="inlineStr">
        <is>
          <t>Test case(s)</t>
        </is>
      </c>
    </row>
    <row r="4" ht="23.85" customHeight="1" s="23">
      <c r="A4" s="31" t="n">
        <v>1</v>
      </c>
      <c r="B4" s="31" t="inlineStr">
        <is>
          <t>Gap</t>
        </is>
      </c>
      <c r="C4" s="32" t="inlineStr">
        <is>
          <t>No test for session timeout / expiry</t>
        </is>
      </c>
      <c r="D4" s="32" t="inlineStr">
        <is>
          <t>Auth automation focus: session timeout; Sub 1 path 'Session expiration'</t>
        </is>
      </c>
      <c r="E4" s="32" t="inlineStr">
        <is>
          <t>Added session-expiry test</t>
        </is>
      </c>
      <c r="F4" s="32" t="inlineStr">
        <is>
          <t>TC-AUTH-12</t>
        </is>
      </c>
    </row>
    <row r="5" ht="15" customHeight="1" s="23">
      <c r="A5" s="31" t="n">
        <v>2</v>
      </c>
      <c r="B5" s="31" t="inlineStr">
        <is>
          <t>Gap</t>
        </is>
      </c>
      <c r="C5" s="32" t="inlineStr">
        <is>
          <t>Pending (unapproved) agent role not tested</t>
        </is>
      </c>
      <c r="D5" s="32" t="inlineStr">
        <is>
          <t>Auth user types; Sub 1 roles table</t>
        </is>
      </c>
      <c r="E5" s="32" t="inlineStr">
        <is>
          <t>Added pending-agent access test</t>
        </is>
      </c>
      <c r="F5" s="32" t="inlineStr">
        <is>
          <t>TC-AUTH-13</t>
        </is>
      </c>
    </row>
    <row r="6" ht="23.85" customHeight="1" s="23">
      <c r="A6" s="31" t="n">
        <v>3</v>
      </c>
      <c r="B6" s="31" t="inlineStr">
        <is>
          <t>Gap</t>
        </is>
      </c>
      <c r="C6" s="32" t="inlineStr">
        <is>
          <t>Dashboard search and profile/support routes not covered</t>
        </is>
      </c>
      <c r="D6" s="32" t="inlineStr">
        <is>
          <t>Dashboard: search, filters; routes /profile, /support</t>
        </is>
      </c>
      <c r="E6" s="32" t="inlineStr">
        <is>
          <t>Added search and route tests</t>
        </is>
      </c>
      <c r="F6" s="32" t="inlineStr">
        <is>
          <t>TC-DASH-07, TC-DASH-09</t>
        </is>
      </c>
    </row>
    <row r="7" ht="15" customHeight="1" s="23">
      <c r="A7" s="31" t="n">
        <v>4</v>
      </c>
      <c r="B7" s="31" t="inlineStr">
        <is>
          <t>Gap</t>
        </is>
      </c>
      <c r="C7" s="32" t="inlineStr">
        <is>
          <t>Cross-agent access only tested via lists, not direct URL</t>
        </is>
      </c>
      <c r="D7" s="32" t="inlineStr">
        <is>
          <t>Risk QR-02 (Critical)</t>
        </is>
      </c>
      <c r="E7" s="32" t="inlineStr">
        <is>
          <t>Added direct-URL isolation test</t>
        </is>
      </c>
      <c r="F7" s="32" t="inlineStr">
        <is>
          <t>TC-DASH-08</t>
        </is>
      </c>
    </row>
    <row r="8" ht="15" customHeight="1" s="23">
      <c r="A8" s="31" t="n">
        <v>5</v>
      </c>
      <c r="B8" s="31" t="inlineStr">
        <is>
          <t>Gap</t>
        </is>
      </c>
      <c r="C8" s="32" t="inlineStr">
        <is>
          <t>Impossible/malformed DOB values not tested</t>
        </is>
      </c>
      <c r="D8" s="32" t="inlineStr">
        <is>
          <t>Client DOB boundaries, date validation</t>
        </is>
      </c>
      <c r="E8" s="32" t="inlineStr">
        <is>
          <t>Added malformed DOB test</t>
        </is>
      </c>
      <c r="F8" s="32" t="inlineStr">
        <is>
          <t>TC-CLI-09</t>
        </is>
      </c>
    </row>
    <row r="9" ht="23.85" customHeight="1" s="23">
      <c r="A9" s="31" t="n">
        <v>6</v>
      </c>
      <c r="B9" s="31" t="inlineStr">
        <is>
          <t>Gap</t>
        </is>
      </c>
      <c r="C9" s="32" t="inlineStr">
        <is>
          <t>Financial suitability fields (income, net worth, source of funds, risk profile) and ID expiry not validated</t>
        </is>
      </c>
      <c r="D9" s="32" t="inlineStr">
        <is>
          <t>KYC and financial spec</t>
        </is>
      </c>
      <c r="E9" s="32" t="inlineStr">
        <is>
          <t>Added two KYC tests</t>
        </is>
      </c>
      <c r="F9" s="32" t="inlineStr">
        <is>
          <t>TC-KYC-08, TC-KYC-09</t>
        </is>
      </c>
    </row>
    <row r="10" ht="23.85" customHeight="1" s="23">
      <c r="A10" s="31" t="n">
        <v>7</v>
      </c>
      <c r="B10" s="31" t="inlineStr">
        <is>
          <t>Gap</t>
        </is>
      </c>
      <c r="C10" s="32" t="inlineStr">
        <is>
          <t>Product eligibility vs client age was missing although listed in problem statement 2.2</t>
        </is>
      </c>
      <c r="D10" s="32" t="inlineStr">
        <is>
          <t>Problem statement 2.2</t>
        </is>
      </c>
      <c r="E10" s="32" t="inlineStr">
        <is>
          <t>Added eligibility test (High, P1)</t>
        </is>
      </c>
      <c r="F10" s="32" t="inlineStr">
        <is>
          <t>TC-PROD-10</t>
        </is>
      </c>
    </row>
    <row r="11" ht="23.85" customHeight="1" s="23">
      <c r="A11" s="31" t="n">
        <v>8</v>
      </c>
      <c r="B11" s="31" t="inlineStr">
        <is>
          <t>Gap</t>
        </is>
      </c>
      <c r="C11" s="32" t="inlineStr">
        <is>
          <t>Payment/policy term rules, invalid face-value inputs, catalog search and UI-vs-API premium not covered</t>
        </is>
      </c>
      <c r="D11" s="32" t="inlineStr">
        <is>
          <t>Product spec table; ProductCatalogPage; premium API reconciliation</t>
        </is>
      </c>
      <c r="E11" s="32" t="inlineStr">
        <is>
          <t>Added four product tests</t>
        </is>
      </c>
      <c r="F11" s="32" t="inlineStr">
        <is>
          <t>TC-PROD-11..14</t>
        </is>
      </c>
    </row>
    <row r="12" ht="23.85" customHeight="1" s="23">
      <c r="A12" s="31" t="n">
        <v>9</v>
      </c>
      <c r="B12" s="31" t="inlineStr">
        <is>
          <t>Gap</t>
        </is>
      </c>
      <c r="C12" s="32" t="inlineStr">
        <is>
          <t>Rider dependency rules and rider removal not covered</t>
        </is>
      </c>
      <c r="D12" s="32" t="inlineStr">
        <is>
          <t>Rider spec: dependency rules; premium itemization</t>
        </is>
      </c>
      <c r="E12" s="32" t="inlineStr">
        <is>
          <t>Added two rider tests</t>
        </is>
      </c>
      <c r="F12" s="32" t="inlineStr">
        <is>
          <t>TC-RID-08, TC-RID-09</t>
        </is>
      </c>
    </row>
    <row r="13" ht="23.85" customHeight="1" s="23">
      <c r="A13" s="31" t="n">
        <v>10</v>
      </c>
      <c r="B13" s="31" t="inlineStr">
        <is>
          <t>Gap</t>
        </is>
      </c>
      <c r="C13" s="32" t="inlineStr">
        <is>
          <t>Beneficiary edit, invalid allocation inputs and persistence not covered</t>
        </is>
      </c>
      <c r="D13" s="32" t="inlineStr">
        <is>
          <t>Beneficiary spec: add/edit/remove; allocation; persistence</t>
        </is>
      </c>
      <c r="E13" s="32" t="inlineStr">
        <is>
          <t>Added three beneficiary tests</t>
        </is>
      </c>
      <c r="F13" s="32" t="inlineStr">
        <is>
          <t>TC-BEN-12..14</t>
        </is>
      </c>
    </row>
    <row r="14" ht="23.85" customHeight="1" s="23">
      <c r="A14" s="31" t="n">
        <v>11</v>
      </c>
      <c r="B14" s="31" t="inlineStr">
        <is>
          <t>Gap</t>
        </is>
      </c>
      <c r="C14" s="32" t="inlineStr">
        <is>
          <t>Validation summary staleness was bundled inside the submit-gating test; review data consistency and upload persistence missing</t>
        </is>
      </c>
      <c r="D14" s="32" t="inlineStr">
        <is>
          <t>Guideline: review consistency; Risk QR-08</t>
        </is>
      </c>
      <c r="E14" s="32" t="inlineStr">
        <is>
          <t>Split stale-summary into its own test; added review-consistency and upload-persistence tests</t>
        </is>
      </c>
      <c r="F14" s="32" t="inlineStr">
        <is>
          <t>TC-VAL-03/04/05, TC-DOC-05</t>
        </is>
      </c>
    </row>
    <row r="15" ht="23.85" customHeight="1" s="23">
      <c r="A15" s="31" t="n">
        <v>12</v>
      </c>
      <c r="B15" s="31" t="inlineStr">
        <is>
          <t>Gap</t>
        </is>
      </c>
      <c r="C15" s="32" t="inlineStr">
        <is>
          <t>No smoke path that stops at review (guideline build step 5); no double-submit, confirmation gating or submitted-data persistence tests</t>
        </is>
      </c>
      <c r="D15" s="32" t="inlineStr">
        <is>
          <t>Guideline 4 step 5; Risk QR-09, QR-10</t>
        </is>
      </c>
      <c r="E15" s="32" t="inlineStr">
        <is>
          <t>Added four workflow tests</t>
        </is>
      </c>
      <c r="F15" s="32" t="inlineStr">
        <is>
          <t>TC-WF-10..13</t>
        </is>
      </c>
    </row>
    <row r="16" ht="23.85" customHeight="1" s="23">
      <c r="A16" s="31" t="n">
        <v>13</v>
      </c>
      <c r="B16" s="31" t="inlineStr">
        <is>
          <t>Gap</t>
        </is>
      </c>
      <c r="C16" s="32" t="inlineStr">
        <is>
          <t>API areas with no test: riders, beneficiaries, documents, client GET/persistence, status history</t>
        </is>
      </c>
      <c r="D16" s="32" t="inlineStr">
        <is>
          <t>Functional spec 3.9 API validation scope</t>
        </is>
      </c>
      <c r="E16" s="32" t="inlineStr">
        <is>
          <t>Added five API tests</t>
        </is>
      </c>
      <c r="F16" s="32" t="inlineStr">
        <is>
          <t>TC-API-10..14</t>
        </is>
      </c>
    </row>
    <row r="17" ht="23.85" customHeight="1" s="23">
      <c r="A17" s="31" t="n">
        <v>14</v>
      </c>
      <c r="B17" s="31" t="inlineStr">
        <is>
          <t>Gap</t>
        </is>
      </c>
      <c r="C17" s="32" t="inlineStr">
        <is>
          <t>No test proving UI and API apply the same rules (explicit business problem)</t>
        </is>
      </c>
      <c r="D17" s="32" t="inlineStr">
        <is>
          <t>Problem statement 2.2: API validation differs from UI</t>
        </is>
      </c>
      <c r="E17" s="32" t="inlineStr">
        <is>
          <t>Added data-driven parity test (Critical)</t>
        </is>
      </c>
      <c r="F17" s="32" t="inlineStr">
        <is>
          <t>TC-API-15</t>
        </is>
      </c>
    </row>
    <row r="18" ht="15" customHeight="1" s="23">
      <c r="A18" s="31" t="n">
        <v>15</v>
      </c>
      <c r="B18" s="31" t="inlineStr">
        <is>
          <t>Gap</t>
        </is>
      </c>
      <c r="C18" s="32" t="inlineStr">
        <is>
          <t>Cross-browser risk QR-13 had no test</t>
        </is>
      </c>
      <c r="D18" s="32" t="inlineStr">
        <is>
          <t>Sub 1 browser plan</t>
        </is>
      </c>
      <c r="E18" s="32" t="inlineStr">
        <is>
          <t>Added Firefox/WebKit smoke case</t>
        </is>
      </c>
      <c r="F18" s="32" t="inlineStr">
        <is>
          <t>TC-XC-01</t>
        </is>
      </c>
    </row>
    <row r="19" ht="23.85" customHeight="1" s="23">
      <c r="A19" s="31" t="n">
        <v>16</v>
      </c>
      <c r="B19" s="31" t="inlineStr">
        <is>
          <t>Weak</t>
        </is>
      </c>
      <c r="C19" s="32" t="inlineStr">
        <is>
          <t>Ambiguous expected results ('Error shown; progression blocked') for allocation tests</t>
        </is>
      </c>
      <c r="D19" s="32" t="inlineStr">
        <is>
          <t>Guideline: observable expected results</t>
        </is>
      </c>
      <c r="E19" s="32" t="inlineStr">
        <is>
          <t>Rewrote with running-total value, blocked action and review-summary check</t>
        </is>
      </c>
      <c r="F19" s="32" t="inlineStr">
        <is>
          <t>TC-BEN-02, TC-BEN-03</t>
        </is>
      </c>
    </row>
    <row r="20" ht="15" customHeight="1" s="23">
      <c r="A20" s="31" t="n">
        <v>17</v>
      </c>
      <c r="B20" s="31" t="inlineStr">
        <is>
          <t>Weak</t>
        </is>
      </c>
      <c r="C20" s="32" t="inlineStr">
        <is>
          <t>Login negative test did not check user enumeration</t>
        </is>
      </c>
      <c r="D20" s="32" t="inlineStr">
        <is>
          <t>AUTH-V02 and misleading-message risk</t>
        </is>
      </c>
      <c r="E20" s="32" t="inlineStr">
        <is>
          <t>Added unknown-user step; same-message assertion</t>
        </is>
      </c>
      <c r="F20" s="32" t="inlineStr">
        <is>
          <t>TC-AUTH-02</t>
        </is>
      </c>
    </row>
    <row r="21" ht="15" customHeight="1" s="23">
      <c r="A21" s="31" t="n">
        <v>18</v>
      </c>
      <c r="B21" s="31" t="inlineStr">
        <is>
          <t>Weak</t>
        </is>
      </c>
      <c r="C21" s="32" t="inlineStr">
        <is>
          <t>Lockout test did not assert attempts 1-4 stay unlocked or persistence</t>
        </is>
      </c>
      <c r="D21" s="32" t="inlineStr">
        <is>
          <t>AUTH-V07</t>
        </is>
      </c>
      <c r="E21" s="32" t="inlineStr">
        <is>
          <t>Expanded expected result</t>
        </is>
      </c>
      <c r="F21" s="32" t="inlineStr">
        <is>
          <t>TC-AUTH-07</t>
        </is>
      </c>
    </row>
    <row r="22" ht="23.85" customHeight="1" s="23">
      <c r="A22" s="31" t="n">
        <v>19</v>
      </c>
      <c r="B22" s="31" t="inlineStr">
        <is>
          <t>Weak</t>
        </is>
      </c>
      <c r="C22" s="32" t="inlineStr">
        <is>
          <t>API-02 only checked one endpoint</t>
        </is>
      </c>
      <c r="D22" s="32" t="inlineStr">
        <is>
          <t>API-V02 'requires authorization'</t>
        </is>
      </c>
      <c r="E22" s="32" t="inlineStr">
        <is>
          <t>Now loops over multiple protected endpoints with no and invalid token</t>
        </is>
      </c>
      <c r="F22" s="32" t="inlineStr">
        <is>
          <t>TC-API-02</t>
        </is>
      </c>
    </row>
    <row r="23" ht="23.85" customHeight="1" s="23">
      <c r="A23" s="31" t="n">
        <v>20</v>
      </c>
      <c r="B23" s="31" t="inlineStr">
        <is>
          <t>Overlap</t>
        </is>
      </c>
      <c r="C23" s="32" t="inlineStr">
        <is>
          <t>DASH-06 and API-06 both compared status with API</t>
        </is>
      </c>
      <c r="D23" s="32" t="inlineStr">
        <is>
          <t>Avoid duplicate coverage</t>
        </is>
      </c>
      <c r="E23" s="32" t="inlineStr">
        <is>
          <t>Differentiated: status endpoint (DASH-06) vs list endpoint (API-06)</t>
        </is>
      </c>
      <c r="F23" s="32" t="inlineStr">
        <is>
          <t>TC-DASH-06, TC-API-06</t>
        </is>
      </c>
    </row>
    <row r="24" ht="23.85" customHeight="1" s="23">
      <c r="A24" s="31" t="n">
        <v>21</v>
      </c>
      <c r="B24" s="31" t="inlineStr">
        <is>
          <t>Quality</t>
        </is>
      </c>
      <c r="C24" s="32" t="inlineStr">
        <is>
          <t>Negative tests did not prove invalid data is not stored</t>
        </is>
      </c>
      <c r="D24" s="32" t="inlineStr">
        <is>
          <t>Spec 7.9 persistence: rejected inputs not persisted</t>
        </is>
      </c>
      <c r="E24" s="32" t="inlineStr">
        <is>
          <t>Added 'not saved' check to every negative/boundary UI test in data modules</t>
        </is>
      </c>
      <c r="F24" s="32" t="inlineStr">
        <is>
          <t>All negative UI cases</t>
        </is>
      </c>
    </row>
    <row r="25" ht="23.85" customHeight="1" s="23">
      <c r="A25" s="31" t="n">
        <v>22</v>
      </c>
      <c r="B25" s="31" t="inlineStr">
        <is>
          <t>Quality</t>
        </is>
      </c>
      <c r="C25" s="32" t="inlineStr">
        <is>
          <t>No indication of positive vs negative balance</t>
        </is>
      </c>
      <c r="D25" s="32" t="inlineStr">
        <is>
          <t>Common mistake: happy-path only</t>
        </is>
      </c>
      <c r="E25" s="32" t="inlineStr">
        <is>
          <t>Added Scenario Type column and mix table on Coverage Summary</t>
        </is>
      </c>
      <c r="F25" s="32" t="inlineStr">
        <is>
          <t>All</t>
        </is>
      </c>
    </row>
    <row r="26" ht="15" customHeight="1" s="23">
      <c r="A26" s="31" t="n">
        <v>23</v>
      </c>
      <c r="B26" s="31" t="inlineStr">
        <is>
          <t>Quality</t>
        </is>
      </c>
      <c r="C26" s="32" t="inlineStr">
        <is>
          <t>Backend verification not visible per test</t>
        </is>
      </c>
      <c r="D26" s="32" t="inlineStr">
        <is>
          <t>Sub 1 layered validation (UI/API/DB)</t>
        </is>
      </c>
      <c r="E26" s="32" t="inlineStr">
        <is>
          <t>Added Backend Cross-check column for key tests</t>
        </is>
      </c>
      <c r="F26" s="32" t="inlineStr">
        <is>
          <t>20 cases</t>
        </is>
      </c>
    </row>
    <row r="27" ht="23.85" customHeight="1" s="23">
      <c r="A27" s="31" t="n">
        <v>24</v>
      </c>
      <c r="B27" s="31" t="inlineStr">
        <is>
          <t>Quality</t>
        </is>
      </c>
      <c r="C27" s="32" t="inlineStr">
        <is>
          <t>Test independence and shared-state risk not recorded</t>
        </is>
      </c>
      <c r="D27" s="32" t="inlineStr">
        <is>
          <t>Best practice: independent tests; QR-12 seed collision</t>
        </is>
      </c>
      <c r="E27" s="32" t="inlineStr">
        <is>
          <t>Added Isolation / Cleanup column; lockout and reset tests flagged serial/reserved</t>
        </is>
      </c>
      <c r="F27" s="32" t="inlineStr">
        <is>
          <t>All</t>
        </is>
      </c>
    </row>
    <row r="28" ht="23.85" customHeight="1" s="23">
      <c r="A28" s="31" t="n">
        <v>25</v>
      </c>
      <c r="B28" s="31" t="inlineStr">
        <is>
          <t>Quality</t>
        </is>
      </c>
      <c r="C28" s="32" t="inlineStr">
        <is>
          <t>Short-cohort fallback was a loose rule</t>
        </is>
      </c>
      <c r="D28" s="32" t="inlineStr">
        <is>
          <t>Min coverage 30-35 option</t>
        </is>
      </c>
      <c r="E28" s="32" t="inlineStr">
        <is>
          <t>Defined an explicit flagged set that keeps auth, E2E, allocation, rider rules, API</t>
        </is>
      </c>
      <c r="F28" s="32" t="inlineStr">
        <is>
          <t>Short-Cohort Set = Y</t>
        </is>
      </c>
    </row>
  </sheetData>
  <autoFilter ref="A3:F2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2026-10-22T12:37:59Z</dcterms:created>
  <dcterms:modified xmlns:dcterms="http://purl.org/dc/terms/" xmlns:xsi="http://www.w3.org/2001/XMLSchema-instance" xsi:type="dcterms:W3CDTF">2026-10-22T13:03:04Z</dcterms:modified>
  <cp:revision>0</cp:revision>
</cp:coreProperties>
</file>